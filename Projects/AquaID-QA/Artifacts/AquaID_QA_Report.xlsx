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Cover" sheetId="1" state="visible" r:id="rId3"/>
    <sheet name="📝 Test Cases" sheetId="2" state="visible" r:id="rId4"/>
    <sheet name="🐞 Bug Reports" sheetId="3" state="visible" r:id="rId5"/>
    <sheet name="📊 Test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<sst xmlns="http://schemas.openxmlformats.org/spreadsheetml/2006/main" count="820" uniqueCount="469">
  <si>
    <t xml:space="preserve">🐟  AquaID  —  QA Test Report</t>
  </si>
  <si>
    <t xml:space="preserve">Quality Assurance | Manual Testing | Full Module Coverage</t>
  </si>
  <si>
    <t xml:space="preserve">Project</t>
  </si>
  <si>
    <t xml:space="preserve">AquaID – Freshwater Fish Identification Web App</t>
  </si>
  <si>
    <t xml:space="preserve">Version</t>
  </si>
  <si>
    <t xml:space="preserve">1.0.0</t>
  </si>
  <si>
    <t xml:space="preserve">Prepared By</t>
  </si>
  <si>
    <t xml:space="preserve">Tilesha Madulantha</t>
  </si>
  <si>
    <t xml:space="preserve">Test Type</t>
  </si>
  <si>
    <t xml:space="preserve">Manual Functional Testing</t>
  </si>
  <si>
    <t xml:space="preserve">Test Date</t>
  </si>
  <si>
    <t xml:space="preserve">February 2026</t>
  </si>
  <si>
    <t xml:space="preserve">Environment</t>
  </si>
  <si>
    <t xml:space="preserve">Web (Chrome/Firefox) – Local &amp; Production</t>
  </si>
  <si>
    <t xml:space="preserve">Test Tool</t>
  </si>
  <si>
    <t xml:space="preserve">Manual — Browser DevTools, Postman (API)</t>
  </si>
  <si>
    <t xml:space="preserve">Total Test Cases</t>
  </si>
  <si>
    <t xml:space="preserve">Total Bugs</t>
  </si>
  <si>
    <t xml:space="preserve">MODULE COVERAGE</t>
  </si>
  <si>
    <t xml:space="preserve">Authentication</t>
  </si>
  <si>
    <t xml:space="preserve">Login, Signup, Forgot Password, Google SSO</t>
  </si>
  <si>
    <t xml:space="preserve">Fish Identification</t>
  </si>
  <si>
    <t xml:space="preserve">Image upload, AI identification, Article generation</t>
  </si>
  <si>
    <t xml:space="preserve">My Aquarium</t>
  </si>
  <si>
    <t xml:space="preserve">Add, view, edit notes, filter, remove fish</t>
  </si>
  <si>
    <t xml:space="preserve">Compare Fish</t>
  </si>
  <si>
    <t xml:space="preserve">Select fish, side-by-side comparison table</t>
  </si>
  <si>
    <t xml:space="preserve">Explore &amp; Articles</t>
  </si>
  <si>
    <t xml:space="preserve">Browse articles, search, article detail, audio</t>
  </si>
  <si>
    <t xml:space="preserve">Nearby Aquariums</t>
  </si>
  <si>
    <t xml:space="preserve">Google Maps, geolocation, radius filter, markers</t>
  </si>
  <si>
    <t xml:space="preserve">Profile</t>
  </si>
  <si>
    <t xml:space="preserve">Display name update, email update, logout</t>
  </si>
  <si>
    <t xml:space="preserve">AquaID — Test Cases</t>
  </si>
  <si>
    <t xml:space="preserve">TC ID</t>
  </si>
  <si>
    <t xml:space="preserve">Module</t>
  </si>
  <si>
    <t xml:space="preserve">Test Case Title</t>
  </si>
  <si>
    <t xml:space="preserve">Preconditions</t>
  </si>
  <si>
    <t xml:space="preserve">Test Steps</t>
  </si>
  <si>
    <t xml:space="preserve">Expected Result</t>
  </si>
  <si>
    <t xml:space="preserve">Priority</t>
  </si>
  <si>
    <t xml:space="preserve">Type</t>
  </si>
  <si>
    <t xml:space="preserve">Status</t>
  </si>
  <si>
    <t xml:space="preserve">TC-AUTH-001</t>
  </si>
  <si>
    <t xml:space="preserve">Valid email &amp; password login</t>
  </si>
  <si>
    <t xml:space="preserve">User is registered; app is accessible</t>
  </si>
  <si>
    <t xml:space="preserve">1. Navigate to /login
2. Enter valid email
3. Enter correct password
4. Click 'Sign in'</t>
  </si>
  <si>
    <t xml:space="preserve">User is redirected to home page; toast shows 'Login successful'</t>
  </si>
  <si>
    <t xml:space="preserve">High</t>
  </si>
  <si>
    <t xml:space="preserve">Positive</t>
  </si>
  <si>
    <t xml:space="preserve">Pass</t>
  </si>
  <si>
    <t xml:space="preserve">TC-AUTH-002</t>
  </si>
  <si>
    <t xml:space="preserve">Login with invalid password</t>
  </si>
  <si>
    <t xml:space="preserve">User account exists</t>
  </si>
  <si>
    <t xml:space="preserve">1. Navigate to /login
2. Enter valid email
3. Enter wrong password
4. Click 'Sign in'</t>
  </si>
  <si>
    <t xml:space="preserve">Error toast shows 'Invalid email or password'; user stays on login page</t>
  </si>
  <si>
    <t xml:space="preserve">Negative</t>
  </si>
  <si>
    <t xml:space="preserve">TC-AUTH-003</t>
  </si>
  <si>
    <t xml:space="preserve">Login with unregistered email</t>
  </si>
  <si>
    <t xml:space="preserve">App is accessible</t>
  </si>
  <si>
    <t xml:space="preserve">1. Navigate to /login
2. Enter email that has no account
3. Enter any password
4. Click 'Sign in'</t>
  </si>
  <si>
    <t xml:space="preserve">Error toast is displayed; user stays on login page</t>
  </si>
  <si>
    <t xml:space="preserve">TC-AUTH-004</t>
  </si>
  <si>
    <t xml:space="preserve">Login with empty fields</t>
  </si>
  <si>
    <t xml:space="preserve">1. Navigate to /login
2. Leave both fields empty
3. Click 'Sign in'</t>
  </si>
  <si>
    <t xml:space="preserve">Inline validation errors shown for email and password fields</t>
  </si>
  <si>
    <t xml:space="preserve">Medium</t>
  </si>
  <si>
    <t xml:space="preserve">TC-AUTH-005</t>
  </si>
  <si>
    <t xml:space="preserve">Login with invalid email format</t>
  </si>
  <si>
    <t xml:space="preserve">1. Navigate to /login
2. Enter 'notanemail'
3. Enter any password
4. Click 'Sign in'</t>
  </si>
  <si>
    <t xml:space="preserve">Inline error: 'Please enter a valid email address'</t>
  </si>
  <si>
    <t xml:space="preserve">TC-AUTH-006</t>
  </si>
  <si>
    <t xml:space="preserve">Password field masks characters</t>
  </si>
  <si>
    <t xml:space="preserve">1. Navigate to /login
2. Type in password field
3. Observe characters displayed</t>
  </si>
  <si>
    <t xml:space="preserve">Characters appear as dots/asterisks; input type is 'password'</t>
  </si>
  <si>
    <t xml:space="preserve">UI</t>
  </si>
  <si>
    <t xml:space="preserve">TC-AUTH-007</t>
  </si>
  <si>
    <t xml:space="preserve">Google SSO login</t>
  </si>
  <si>
    <t xml:space="preserve">Valid Google account exists; browser allows popups</t>
  </si>
  <si>
    <t xml:space="preserve">1. Navigate to /login
2. Click 'Sign in with Google'
3. Complete Google OAuth flow</t>
  </si>
  <si>
    <t xml:space="preserve">User is redirected to home; toast shows 'Logged in with Google'</t>
  </si>
  <si>
    <t xml:space="preserve">TC-AUTH-008</t>
  </si>
  <si>
    <t xml:space="preserve">New account signup – valid data</t>
  </si>
  <si>
    <t xml:space="preserve">Email is not registered</t>
  </si>
  <si>
    <t xml:space="preserve">1. Navigate to /signup
2. Enter valid email, password ≥6 chars, matching confirm password
3. Click 'Sign Up'</t>
  </si>
  <si>
    <t xml:space="preserve">Account created; user redirected to home; toast: 'Account created'</t>
  </si>
  <si>
    <t xml:space="preserve">TC-AUTH-009</t>
  </si>
  <si>
    <t xml:space="preserve">Signup – password mismatch</t>
  </si>
  <si>
    <t xml:space="preserve">1. Navigate to /signup
2. Enter password and different confirmPassword
3. Click 'Sign Up'</t>
  </si>
  <si>
    <t xml:space="preserve">Inline error: 'Passwords don't match'</t>
  </si>
  <si>
    <t xml:space="preserve">TC-AUTH-010</t>
  </si>
  <si>
    <t xml:space="preserve">Signup – password too short</t>
  </si>
  <si>
    <t xml:space="preserve">1. Navigate to /signup
2. Enter password with fewer than 6 characters
3. Click 'Sign Up'</t>
  </si>
  <si>
    <t xml:space="preserve">Inline error: 'Password must be at least 6 characters'</t>
  </si>
  <si>
    <t xml:space="preserve">TC-AUTH-011</t>
  </si>
  <si>
    <t xml:space="preserve">Signup – duplicate email</t>
  </si>
  <si>
    <t xml:space="preserve">Email is already registered</t>
  </si>
  <si>
    <t xml:space="preserve">1. Navigate to /signup
2. Enter email already in use
3. Click 'Sign Up'</t>
  </si>
  <si>
    <t xml:space="preserve">Toast error: 'Email is already in use'</t>
  </si>
  <si>
    <t xml:space="preserve">TC-AUTH-012</t>
  </si>
  <si>
    <t xml:space="preserve">Forgot password – valid email</t>
  </si>
  <si>
    <t xml:space="preserve">1. Navigate to /forgot-password
2. Enter registered email
3. Click 'Reset Password'</t>
  </si>
  <si>
    <t xml:space="preserve">Success message shown; password reset email sent to inbox</t>
  </si>
  <si>
    <t xml:space="preserve">TC-AUTH-013</t>
  </si>
  <si>
    <t xml:space="preserve">Forgot password – unregistered email</t>
  </si>
  <si>
    <t xml:space="preserve">1. Navigate to /forgot-password
2. Enter unregistered email
3. Click 'Reset Password'</t>
  </si>
  <si>
    <t xml:space="preserve">Appropriate error or generic message shown (no account enumeration)</t>
  </si>
  <si>
    <t xml:space="preserve">Not Tested</t>
  </si>
  <si>
    <t xml:space="preserve">TC-AUTH-014</t>
  </si>
  <si>
    <t xml:space="preserve">Access protected route without login</t>
  </si>
  <si>
    <t xml:space="preserve">User is not logged in</t>
  </si>
  <si>
    <t xml:space="preserve">1. Type /explore directly in address bar
2. Press Enter</t>
  </si>
  <si>
    <t xml:space="preserve">User is redirected to /login page</t>
  </si>
  <si>
    <t xml:space="preserve">Security</t>
  </si>
  <si>
    <t xml:space="preserve">TC-ID-001</t>
  </si>
  <si>
    <t xml:space="preserve">Upload valid fish image</t>
  </si>
  <si>
    <t xml:space="preserve">User is logged in; Gemini API is available</t>
  </si>
  <si>
    <t xml:space="preserve">1. Navigate to home (/)
2. Click upload area
3. Select a clear fish image (JPG)
4. Click 'Identify Fish'</t>
  </si>
  <si>
    <t xml:space="preserve">Loading state shown; fish data card displayed with species name, scientific name, care details</t>
  </si>
  <si>
    <t xml:space="preserve">Critical</t>
  </si>
  <si>
    <t xml:space="preserve">TC-ID-002</t>
  </si>
  <si>
    <t xml:space="preserve">Upload non-fish image</t>
  </si>
  <si>
    <t xml:space="preserve">User is logged in</t>
  </si>
  <si>
    <t xml:space="preserve">1. Navigate to home
2. Upload image of a landscape/object
3. Click 'Identify Fish'</t>
  </si>
  <si>
    <t xml:space="preserve">Error or non-fish result returned; system handles gracefully without crash</t>
  </si>
  <si>
    <t xml:space="preserve">TC-ID-003</t>
  </si>
  <si>
    <t xml:space="preserve">Upload unsupported file type</t>
  </si>
  <si>
    <t xml:space="preserve">1. Navigate to home
2. Attempt to upload a .pdf or .txt file</t>
  </si>
  <si>
    <t xml:space="preserve">File type is rejected; user-friendly error message displayed</t>
  </si>
  <si>
    <t xml:space="preserve">TC-ID-004</t>
  </si>
  <si>
    <t xml:space="preserve">Identify without selecting image</t>
  </si>
  <si>
    <t xml:space="preserve">1. Navigate to home
2. Click 'Identify Fish' without selecting image</t>
  </si>
  <si>
    <t xml:space="preserve">Toast error: 'No image selected'</t>
  </si>
  <si>
    <t xml:space="preserve">TC-ID-005</t>
  </si>
  <si>
    <t xml:space="preserve">Verify all identification fields returned</t>
  </si>
  <si>
    <t xml:space="preserve">User is logged in; valid fish image ready</t>
  </si>
  <si>
    <t xml:space="preserve">1. Upload valid fish image
2. Click 'Identify Fish'
3. Inspect result card</t>
  </si>
  <si>
    <t xml:space="preserve">All 11 fields present: speciesName, scientificName, commonNames, description, coloration, habitat, careInstructions, diet, breeding, compatibility, careDifficulty</t>
  </si>
  <si>
    <t xml:space="preserve">TC-ID-006</t>
  </si>
  <si>
    <t xml:space="preserve">careDifficulty restricted to valid values</t>
  </si>
  <si>
    <t xml:space="preserve">1. Upload fish image
2. Observe careDifficulty badge value</t>
  </si>
  <si>
    <t xml:space="preserve">careDifficulty is one of: beginner, intermediate, expert</t>
  </si>
  <si>
    <t xml:space="preserve">Validation</t>
  </si>
  <si>
    <t xml:space="preserve">TC-ID-007</t>
  </si>
  <si>
    <t xml:space="preserve">Save article to Firestore</t>
  </si>
  <si>
    <t xml:space="preserve">Fish identified successfully</t>
  </si>
  <si>
    <t xml:space="preserve">1. After identification
2. Click 'Generate &amp; Save Article'
3. Wait for confirmation</t>
  </si>
  <si>
    <t xml:space="preserve">Toast confirms article saved; article appears in Explore/Articles section</t>
  </si>
  <si>
    <t xml:space="preserve">TC-ID-008</t>
  </si>
  <si>
    <t xml:space="preserve">Identify fish while offline</t>
  </si>
  <si>
    <t xml:space="preserve">User is logged in; network disabled</t>
  </si>
  <si>
    <t xml:space="preserve">1. Disable network
2. Upload image
3. Click 'Identify Fish'</t>
  </si>
  <si>
    <t xml:space="preserve">Graceful error message shown; no crash or blank screen</t>
  </si>
  <si>
    <t xml:space="preserve">TC-ID-009</t>
  </si>
  <si>
    <t xml:space="preserve">Large image upload (&gt;5MB)</t>
  </si>
  <si>
    <t xml:space="preserve">1. Upload image larger than 5MB
2. Click 'Identify Fish'</t>
  </si>
  <si>
    <t xml:space="preserve">System handles large file; either processes or shows size limit message</t>
  </si>
  <si>
    <t xml:space="preserve">Edge Case</t>
  </si>
  <si>
    <t xml:space="preserve">TC-AQ-001</t>
  </si>
  <si>
    <t xml:space="preserve">View empty aquarium state</t>
  </si>
  <si>
    <t xml:space="preserve">User is logged in; no fish saved</t>
  </si>
  <si>
    <t xml:space="preserve">1. Navigate to /my-aquarium</t>
  </si>
  <si>
    <t xml:space="preserve">Empty state UI shown with prompt to add fish; no error</t>
  </si>
  <si>
    <t xml:space="preserve">TC-AQ-002</t>
  </si>
  <si>
    <t xml:space="preserve">View aquarium with saved fish</t>
  </si>
  <si>
    <t xml:space="preserve">User has at least one fish saved</t>
  </si>
  <si>
    <t xml:space="preserve">Fish cards displayed with species name, care difficulty badge, and action buttons</t>
  </si>
  <si>
    <t xml:space="preserve">TC-AQ-003</t>
  </si>
  <si>
    <t xml:space="preserve">Add fish to aquarium</t>
  </si>
  <si>
    <t xml:space="preserve">Fish article exists in Firestore</t>
  </si>
  <si>
    <t xml:space="preserve">1. Navigate to /my-aquarium/add
2. Select a fish
3. Confirm addition</t>
  </si>
  <si>
    <t xml:space="preserve">Fish appears in aquarium list; toast confirms success</t>
  </si>
  <si>
    <t xml:space="preserve">TC-AQ-004</t>
  </si>
  <si>
    <t xml:space="preserve">Edit fish notes</t>
  </si>
  <si>
    <t xml:space="preserve">At least one fish in aquarium</t>
  </si>
  <si>
    <t xml:space="preserve">1. Click edit (pencil) icon on fish card
2. Update notes
3. Save</t>
  </si>
  <si>
    <t xml:space="preserve">Notes saved; updated text shown in card; toast: 'Notes updated'</t>
  </si>
  <si>
    <t xml:space="preserve">TC-AQ-005</t>
  </si>
  <si>
    <t xml:space="preserve">Remove fish from aquarium</t>
  </si>
  <si>
    <t xml:space="preserve">1. Click trash icon on fish card
2. Confirm removal</t>
  </si>
  <si>
    <t xml:space="preserve">Fish removed from list; toast: 'Fish removed'</t>
  </si>
  <si>
    <t xml:space="preserve">TC-AQ-006</t>
  </si>
  <si>
    <t xml:space="preserve">Filter fish by care difficulty</t>
  </si>
  <si>
    <t xml:space="preserve">Multiple fish with different care levels in aquarium</t>
  </si>
  <si>
    <t xml:space="preserve">1. Navigate to /my-aquarium
2. Click filter tab (e.g., Beginner)</t>
  </si>
  <si>
    <t xml:space="preserve">Only fish matching selected difficulty level are shown</t>
  </si>
  <si>
    <t xml:space="preserve">TC-AQ-007</t>
  </si>
  <si>
    <t xml:space="preserve">Aquarium persists across sessions</t>
  </si>
  <si>
    <t xml:space="preserve">User has fish saved; user logs out</t>
  </si>
  <si>
    <t xml:space="preserve">1. Save fish to aquarium
2. Logout
3. Login again
4. Navigate to /my-aquarium</t>
  </si>
  <si>
    <t xml:space="preserve">Previously saved fish still appear in aquarium</t>
  </si>
  <si>
    <t xml:space="preserve">TC-CMP-001</t>
  </si>
  <si>
    <t xml:space="preserve">Navigate to compare page</t>
  </si>
  <si>
    <t xml:space="preserve">User is logged in; articles exist in Firestore</t>
  </si>
  <si>
    <t xml:space="preserve">1. Navigate to /compare</t>
  </si>
  <si>
    <t xml:space="preserve">Page loads with fish selection UI; no errors</t>
  </si>
  <si>
    <t xml:space="preserve">TC-CMP-002</t>
  </si>
  <si>
    <t xml:space="preserve">Select two fish for comparison</t>
  </si>
  <si>
    <t xml:space="preserve">At least two fish articles exist</t>
  </si>
  <si>
    <t xml:space="preserve">1. Navigate to /compare
2. Select Fish 1 from dropdown/search
3. Select Fish 2 from dropdown/search
4. Click 'Compare'</t>
  </si>
  <si>
    <t xml:space="preserve">Comparison table rendered with side-by-side attributes</t>
  </si>
  <si>
    <t xml:space="preserve">TC-CMP-003</t>
  </si>
  <si>
    <t xml:space="preserve">Comparison shows all attributes</t>
  </si>
  <si>
    <t xml:space="preserve">Two fish selected</t>
  </si>
  <si>
    <t xml:space="preserve">1. Complete comparison
2. Review table</t>
  </si>
  <si>
    <t xml:space="preserve">8 comparison properties shown: Water Parameters, Size, Temperament, Diet, Tank Requirements, Lifespan, Care Difficulty, Compatibility</t>
  </si>
  <si>
    <t xml:space="preserve">TC-CMP-004</t>
  </si>
  <si>
    <t xml:space="preserve">Search for fish in compare selector</t>
  </si>
  <si>
    <t xml:space="preserve">Multiple articles exist</t>
  </si>
  <si>
    <t xml:space="preserve">1. In compare page
2. Type species name in search field</t>
  </si>
  <si>
    <t xml:space="preserve">Dropdown filters to matching fish in real time</t>
  </si>
  <si>
    <t xml:space="preserve">TC-CMP-005</t>
  </si>
  <si>
    <t xml:space="preserve">Remove fish from comparison</t>
  </si>
  <si>
    <t xml:space="preserve">Two fish selected for comparison</t>
  </si>
  <si>
    <t xml:space="preserve">1. Click X on a selected fish
2. Observe state</t>
  </si>
  <si>
    <t xml:space="preserve">Fish removed; comparison table cleared or reset</t>
  </si>
  <si>
    <t xml:space="preserve">TC-CMP-006</t>
  </si>
  <si>
    <t xml:space="preserve">Compare same fish twice</t>
  </si>
  <si>
    <t xml:space="preserve">Fish articles exist</t>
  </si>
  <si>
    <t xml:space="preserve">1. Select same fish as both Fish 1 and Fish 2
2. Click Compare</t>
  </si>
  <si>
    <t xml:space="preserve">System prevents duplicate comparison or shows appropriate message</t>
  </si>
  <si>
    <t xml:space="preserve">Low</t>
  </si>
  <si>
    <t xml:space="preserve">TC-ART-001</t>
  </si>
  <si>
    <t xml:space="preserve">Browse all articles</t>
  </si>
  <si>
    <t xml:space="preserve">1. Navigate to /articles</t>
  </si>
  <si>
    <t xml:space="preserve">Fish article cards displayed with species name, image, and tags</t>
  </si>
  <si>
    <t xml:space="preserve">TC-ART-002</t>
  </si>
  <si>
    <t xml:space="preserve">Search for a fish article</t>
  </si>
  <si>
    <t xml:space="preserve">1. Navigate to /articles
2. Type species name in search bar</t>
  </si>
  <si>
    <t xml:space="preserve">Results filtered in real time to matching species</t>
  </si>
  <si>
    <t xml:space="preserve">TC-ART-003</t>
  </si>
  <si>
    <t xml:space="preserve">Open article detail page</t>
  </si>
  <si>
    <t xml:space="preserve">Articles exist</t>
  </si>
  <si>
    <t xml:space="preserve">1. Navigate to /articles
2. Click on a fish card</t>
  </si>
  <si>
    <t xml:space="preserve">Article detail page opens at /articles/:articleId with full information</t>
  </si>
  <si>
    <t xml:space="preserve">TC-ART-004</t>
  </si>
  <si>
    <t xml:space="preserve">Article detail shows audio player</t>
  </si>
  <si>
    <t xml:space="preserve">Article with audio exists</t>
  </si>
  <si>
    <t xml:space="preserve">1. Open an article that has an audio URL
2. Observe audio player</t>
  </si>
  <si>
    <t xml:space="preserve">Audio player is visible and playback controls are functional</t>
  </si>
  <si>
    <t xml:space="preserve">TC-ART-005</t>
  </si>
  <si>
    <t xml:space="preserve">Search with no matching results</t>
  </si>
  <si>
    <t xml:space="preserve">1. Navigate to /articles
2. Search for a non-existent species name</t>
  </si>
  <si>
    <t xml:space="preserve">Empty state shown: e.g., 'No articles found'</t>
  </si>
  <si>
    <t xml:space="preserve">TC-ART-006</t>
  </si>
  <si>
    <t xml:space="preserve">Articles page with no articles in DB</t>
  </si>
  <si>
    <t xml:space="preserve">No articles in Firestore</t>
  </si>
  <si>
    <t xml:space="preserve">Empty state UI displayed; no error thrown</t>
  </si>
  <si>
    <t xml:space="preserve">TC-ART-007</t>
  </si>
  <si>
    <t xml:space="preserve">Filter articles by tag</t>
  </si>
  <si>
    <t xml:space="preserve">Articles with different tags exist</t>
  </si>
  <si>
    <t xml:space="preserve">1. Navigate to /articles
2. Click a tag badge filter</t>
  </si>
  <si>
    <t xml:space="preserve">Only articles with that tag are shown</t>
  </si>
  <si>
    <t xml:space="preserve">TC-MAP-001</t>
  </si>
  <si>
    <t xml:space="preserve">Page loads with map</t>
  </si>
  <si>
    <t xml:space="preserve">User is logged in; Google Maps API key configured</t>
  </si>
  <si>
    <t xml:space="preserve">1. Navigate to /nearby-aquariums</t>
  </si>
  <si>
    <t xml:space="preserve">Google Maps renders correctly centred on default/user location</t>
  </si>
  <si>
    <t xml:space="preserve">TC-MAP-002</t>
  </si>
  <si>
    <t xml:space="preserve">Request geolocation</t>
  </si>
  <si>
    <t xml:space="preserve">Browser supports Geolocation API</t>
  </si>
  <si>
    <t xml:space="preserve">1. Navigate to /nearby-aquariums
2. Click 'Use My Location'
3. Allow permission</t>
  </si>
  <si>
    <t xml:space="preserve">Map recentres to user's current location</t>
  </si>
  <si>
    <t xml:space="preserve">TC-MAP-003</t>
  </si>
  <si>
    <t xml:space="preserve">Deny geolocation permission</t>
  </si>
  <si>
    <t xml:space="preserve">Browser prompts for geolocation</t>
  </si>
  <si>
    <t xml:space="preserve">1. Navigate to /nearby-aquariums
2. Click 'Use My Location'
3. Deny permission</t>
  </si>
  <si>
    <t xml:space="preserve">Friendly error message displayed; map stays on default view</t>
  </si>
  <si>
    <t xml:space="preserve">TC-MAP-004</t>
  </si>
  <si>
    <t xml:space="preserve">Search aquariums by location</t>
  </si>
  <si>
    <t xml:space="preserve">1. Type a city/address in location search
2. Press search</t>
  </si>
  <si>
    <t xml:space="preserve">Map recentres to specified location; nearby markers shown</t>
  </si>
  <si>
    <t xml:space="preserve">TC-MAP-005</t>
  </si>
  <si>
    <t xml:space="preserve">Adjust search radius slider</t>
  </si>
  <si>
    <t xml:space="preserve">User is on Nearby Aquariums page</t>
  </si>
  <si>
    <t xml:space="preserve">1. Move radius slider
2. Observe map markers</t>
  </si>
  <si>
    <t xml:space="preserve">Search radius updates; markers refresh for new radius</t>
  </si>
  <si>
    <t xml:space="preserve">TC-MAP-006</t>
  </si>
  <si>
    <t xml:space="preserve">Click aquarium marker</t>
  </si>
  <si>
    <t xml:space="preserve">Aquarium markers visible on map</t>
  </si>
  <si>
    <t xml:space="preserve">1. Click a marker on the map</t>
  </si>
  <si>
    <t xml:space="preserve">Info window opens with aquarium name, address, and details</t>
  </si>
  <si>
    <t xml:space="preserve">TC-MAP-007</t>
  </si>
  <si>
    <t xml:space="preserve">No aquariums in radius</t>
  </si>
  <si>
    <t xml:space="preserve">User specifies remote area</t>
  </si>
  <si>
    <t xml:space="preserve">1. Navigate to /nearby-aquariums
2. Search an area with no aquariums</t>
  </si>
  <si>
    <t xml:space="preserve">Empty state or 'No results found' message; no crash</t>
  </si>
  <si>
    <t xml:space="preserve">TC-PRF-001</t>
  </si>
  <si>
    <t xml:space="preserve">View profile page</t>
  </si>
  <si>
    <t xml:space="preserve">1. Navigate to /profile</t>
  </si>
  <si>
    <t xml:space="preserve">Profile page loads with current displayName and email pre-filled</t>
  </si>
  <si>
    <t xml:space="preserve">TC-PRF-002</t>
  </si>
  <si>
    <t xml:space="preserve">Update display name</t>
  </si>
  <si>
    <t xml:space="preserve">1. Navigate to /profile
2. Change displayName field
3. Click 'Update Profile'</t>
  </si>
  <si>
    <t xml:space="preserve">Profile updated in Firebase Auth; toast: 'Profile updated'</t>
  </si>
  <si>
    <t xml:space="preserve">TC-PRF-003</t>
  </si>
  <si>
    <t xml:space="preserve">Update email address</t>
  </si>
  <si>
    <t xml:space="preserve">User is logged in with email/password (not Google SSO)</t>
  </si>
  <si>
    <t xml:space="preserve">1. Navigate to /profile
2. Change email field
3. Click 'Update Profile'</t>
  </si>
  <si>
    <t xml:space="preserve">Email updated in Firebase Auth; toast confirms success</t>
  </si>
  <si>
    <t xml:space="preserve">TC-PRF-004</t>
  </si>
  <si>
    <t xml:space="preserve">Update profile with invalid email</t>
  </si>
  <si>
    <t xml:space="preserve">1. Navigate to /profile
2. Enter invalid email format
3. Click 'Update Profile'</t>
  </si>
  <si>
    <t xml:space="preserve">Inline validation error: 'Please enter a valid email address'</t>
  </si>
  <si>
    <t xml:space="preserve">TC-PRF-005</t>
  </si>
  <si>
    <t xml:space="preserve">Display name too short</t>
  </si>
  <si>
    <t xml:space="preserve">1. Navigate to /profile
2. Enter single character in displayName
3. Click 'Update Profile'</t>
  </si>
  <si>
    <t xml:space="preserve">Inline validation error: 'Name must be at least 2 characters'</t>
  </si>
  <si>
    <t xml:space="preserve">TC-PRF-006</t>
  </si>
  <si>
    <t xml:space="preserve">Logout from profile</t>
  </si>
  <si>
    <t xml:space="preserve">1. Navigate to /profile
2. Click 'Logout' button</t>
  </si>
  <si>
    <t xml:space="preserve">User signed out; redirected to /login page</t>
  </si>
  <si>
    <t xml:space="preserve">TC-PRF-007</t>
  </si>
  <si>
    <t xml:space="preserve">Avatar / initials display</t>
  </si>
  <si>
    <t xml:space="preserve">User is logged in; displayName set</t>
  </si>
  <si>
    <t xml:space="preserve">1. Navigate to /profile
2. Observe avatar area</t>
  </si>
  <si>
    <t xml:space="preserve">Avatar shows user photo (if Google SSO) or first-letter initials</t>
  </si>
  <si>
    <t xml:space="preserve">AquaID — Bug Reports</t>
  </si>
  <si>
    <t xml:space="preserve">Bug ID</t>
  </si>
  <si>
    <t xml:space="preserve">Bug Title</t>
  </si>
  <si>
    <t xml:space="preserve">Steps to Reproduce</t>
  </si>
  <si>
    <t xml:space="preserve">Actual Result</t>
  </si>
  <si>
    <t xml:space="preserve">Severity</t>
  </si>
  <si>
    <t xml:space="preserve">Linked TC</t>
  </si>
  <si>
    <t xml:space="preserve">BUG-001</t>
  </si>
  <si>
    <t xml:space="preserve">No error shown for blank login submission</t>
  </si>
  <si>
    <t xml:space="preserve">1. Go to /login
2. Leave fields empty
3. Click 'Sign in'</t>
  </si>
  <si>
    <t xml:space="preserve">Button becomes disabled; no validation message displayed</t>
  </si>
  <si>
    <t xml:space="preserve">Inline validation errors should appear for both email and password fields</t>
  </si>
  <si>
    <t xml:space="preserve">Minor</t>
  </si>
  <si>
    <t xml:space="preserve">Open</t>
  </si>
  <si>
    <t xml:space="preserve">BUG-002</t>
  </si>
  <si>
    <t xml:space="preserve">Forgot password does not indicate result for unregistered email</t>
  </si>
  <si>
    <t xml:space="preserve">1. Go to /forgot-password
2. Enter non-registered email
3. Submit</t>
  </si>
  <si>
    <t xml:space="preserve">Unclear feedback — user cannot tell if email was sent or not</t>
  </si>
  <si>
    <t xml:space="preserve">A message should confirm whether the email was sent (or show error for unknown address)</t>
  </si>
  <si>
    <t xml:space="preserve">BUG-003</t>
  </si>
  <si>
    <t xml:space="preserve">Google SSO popup blocked in certain browsers</t>
  </si>
  <si>
    <t xml:space="preserve">1. Open in Safari with strict popup settings
2. Click 'Sign in with Google'</t>
  </si>
  <si>
    <t xml:space="preserve">Popup silently blocked; no user feedback</t>
  </si>
  <si>
    <t xml:space="preserve">Error toast should explain popup is blocked and guide user to allow it</t>
  </si>
  <si>
    <t xml:space="preserve">BUG-004</t>
  </si>
  <si>
    <t xml:space="preserve">Unsupported file types can be uploaded (no client-side restriction)</t>
  </si>
  <si>
    <t xml:space="preserve">1. Go to /
2. Click upload area
3. Select a .pdf file</t>
  </si>
  <si>
    <t xml:space="preserve">File is accepted and sent to server; server returns 500 error</t>
  </si>
  <si>
    <t xml:space="preserve">Client should restrict file selection to image types (jpg, png, webp) only</t>
  </si>
  <si>
    <t xml:space="preserve">Major</t>
  </si>
  <si>
    <t xml:space="preserve">BUG-005</t>
  </si>
  <si>
    <t xml:space="preserve">No feedback during long AI identification wait</t>
  </si>
  <si>
    <t xml:space="preserve">1. Upload a valid fish image
2. Click Identify</t>
  </si>
  <si>
    <t xml:space="preserve">Loading spinner shown but no progress text; user may think app is frozen after 5+ seconds</t>
  </si>
  <si>
    <t xml:space="preserve">Progress message (e.g., 'Analysing image…') should reassure user during delay</t>
  </si>
  <si>
    <t xml:space="preserve">BUG-006</t>
  </si>
  <si>
    <t xml:space="preserve">App crashes with blank white screen when offline during identification</t>
  </si>
  <si>
    <t xml:space="preserve">1. Disable network
2. Upload image
3. Click Identify</t>
  </si>
  <si>
    <t xml:space="preserve">App throws unhandled promise rejection; white screen displayed</t>
  </si>
  <si>
    <t xml:space="preserve">Graceful error message: 'No internet connection. Please check your network.'</t>
  </si>
  <si>
    <t xml:space="preserve">BUG-007</t>
  </si>
  <si>
    <t xml:space="preserve">Large images (&gt;5MB) cause slow/failed identification with no user message</t>
  </si>
  <si>
    <t xml:space="preserve">1. Upload fish image &gt;5MB
2. Click Identify</t>
  </si>
  <si>
    <t xml:space="preserve">Request times out silently; spinner continues indefinitely</t>
  </si>
  <si>
    <t xml:space="preserve">File size should be validated before upload; user shown a size limit message</t>
  </si>
  <si>
    <t xml:space="preserve">BUG-008</t>
  </si>
  <si>
    <t xml:space="preserve">No confirmation dialog before removing fish</t>
  </si>
  <si>
    <t xml:space="preserve">1. Navigate to /my-aquarium
2. Click trash icon on any fish card</t>
  </si>
  <si>
    <t xml:space="preserve">Fish is immediately deleted without confirmation</t>
  </si>
  <si>
    <t xml:space="preserve">A confirmation dialog should appear: 'Are you sure you want to remove this fish?'</t>
  </si>
  <si>
    <t xml:space="preserve">BUG-009</t>
  </si>
  <si>
    <t xml:space="preserve">Fish notes not visible in card after save (UI not refreshed)</t>
  </si>
  <si>
    <t xml:space="preserve">1. Edit notes for a fish
2. Save
3. Close dialog</t>
  </si>
  <si>
    <t xml:space="preserve">Toast shows success but card body still shows old/empty notes text</t>
  </si>
  <si>
    <t xml:space="preserve">Notes should update in the card immediately after saving</t>
  </si>
  <si>
    <t xml:space="preserve">BUG-010</t>
  </si>
  <si>
    <t xml:space="preserve">Filter tab resets to 'all' on page refresh</t>
  </si>
  <si>
    <t xml:space="preserve">1. Select filter tab 'Beginner'
2. Refresh page</t>
  </si>
  <si>
    <t xml:space="preserve">Filter resets to 'all'; selected filter not persisted</t>
  </si>
  <si>
    <t xml:space="preserve">Filter state should be persisted (session or URL param) across refreshes</t>
  </si>
  <si>
    <t xml:space="preserve">Trivial</t>
  </si>
  <si>
    <t xml:space="preserve">BUG-011</t>
  </si>
  <si>
    <t xml:space="preserve">Same fish can be selected for both comparison slots</t>
  </si>
  <si>
    <t xml:space="preserve">1. Go to /compare
2. Select Fish A in slot 1 and Fish A in slot 2
3. Click Compare</t>
  </si>
  <si>
    <t xml:space="preserve">Comparison table shows identical data side-by-side with no warning</t>
  </si>
  <si>
    <t xml:space="preserve">System should prevent selecting the same fish in both slots or show a warning</t>
  </si>
  <si>
    <t xml:space="preserve">BUG-012</t>
  </si>
  <si>
    <t xml:space="preserve">Comparison properties show 'N/A' when data cannot be parsed from article</t>
  </si>
  <si>
    <t xml:space="preserve">1. Select two fish with limited article content
2. Compare</t>
  </si>
  <si>
    <t xml:space="preserve">Multiple properties display 'N/A' without explanation</t>
  </si>
  <si>
    <t xml:space="preserve">Fallback text should be descriptive, e.g., 'Not specified in article'</t>
  </si>
  <si>
    <t xml:space="preserve">BUG-013</t>
  </si>
  <si>
    <t xml:space="preserve">Articles page shows blank card when imageUrl is missing</t>
  </si>
  <si>
    <t xml:space="preserve">1. Navigate to /articles
2. View article that has no imageUrl</t>
  </si>
  <si>
    <t xml:space="preserve">Broken image icon visible in card; unprofessional appearance</t>
  </si>
  <si>
    <t xml:space="preserve">A default placeholder fish image should be displayed when imageUrl is absent</t>
  </si>
  <si>
    <t xml:space="preserve">BUG-014</t>
  </si>
  <si>
    <t xml:space="preserve">Audio player controls non-functional on Safari iOS</t>
  </si>
  <si>
    <t xml:space="preserve">1. Open article with audio on Safari iOS
2. Tap play button</t>
  </si>
  <si>
    <t xml:space="preserve">Audio does not play; play button unresponsive</t>
  </si>
  <si>
    <t xml:space="preserve">Audio playback should work consistently across browsers including Safari iOS</t>
  </si>
  <si>
    <t xml:space="preserve">BUG-015</t>
  </si>
  <si>
    <t xml:space="preserve">No empty state when articles collection is empty</t>
  </si>
  <si>
    <t xml:space="preserve">1. Clear articles from Firestore
2. Navigate to /articles</t>
  </si>
  <si>
    <t xml:space="preserve">Page shows loading spinner indefinitely instead of empty state</t>
  </si>
  <si>
    <t xml:space="preserve">After loading resolves with empty data, 'No articles yet' UI should be shown</t>
  </si>
  <si>
    <t xml:space="preserve">BUG-016</t>
  </si>
  <si>
    <t xml:space="preserve">Map does not load when Google Maps API key is missing</t>
  </si>
  <si>
    <t xml:space="preserve">1. Remove VITE_GOOGLE_MAPS_API_KEY from .env
2. Navigate to /nearby-aquariums</t>
  </si>
  <si>
    <t xml:space="preserve">Page shows blank white area with console error; no user-facing message</t>
  </si>
  <si>
    <t xml:space="preserve">A clear error: 'Map unavailable. Configuration error.' should be shown</t>
  </si>
  <si>
    <t xml:space="preserve">BUG-017</t>
  </si>
  <si>
    <t xml:space="preserve">Radius slider value not reflected in search results immediately</t>
  </si>
  <si>
    <t xml:space="preserve">1. Navigate to /nearby-aquariums
2. Perform initial search
3. Move slider to new radius</t>
  </si>
  <si>
    <t xml:space="preserve">Radius changes visually but markers on map do not refresh automatically</t>
  </si>
  <si>
    <t xml:space="preserve">Map should re-query and update markers whenever slider value changes</t>
  </si>
  <si>
    <t xml:space="preserve">BUG-018</t>
  </si>
  <si>
    <t xml:space="preserve">No results feedback when no aquariums found in area</t>
  </si>
  <si>
    <t xml:space="preserve">1. Search an area with no aquariums (e.g., remote rural location)</t>
  </si>
  <si>
    <t xml:space="preserve">Map shows no markers and no message; user unsure if search ran</t>
  </si>
  <si>
    <t xml:space="preserve">A toast or inline message: 'No aquariums found in this area' should appear</t>
  </si>
  <si>
    <t xml:space="preserve">BUG-019</t>
  </si>
  <si>
    <t xml:space="preserve">Updating email for Google SSO account throws unhandled Firebase error</t>
  </si>
  <si>
    <t xml:space="preserve">1. Log in via Google SSO
2. Navigate to /profile
3. Change email
4. Click Update</t>
  </si>
  <si>
    <t xml:space="preserve">Console error thrown (requires re-authentication); user sees generic failure toast</t>
  </si>
  <si>
    <t xml:space="preserve">Specific message: 'Please re-login before changing your email'</t>
  </si>
  <si>
    <t xml:space="preserve">BUG-020</t>
  </si>
  <si>
    <t xml:space="preserve">Avatar shows broken image for Google users with expired photo URL</t>
  </si>
  <si>
    <t xml:space="preserve">1. Log in with Google
2. Navigate to /profile
3. Observe avatar</t>
  </si>
  <si>
    <t xml:space="preserve">Broken image icon shown when Google photo URL expires</t>
  </si>
  <si>
    <t xml:space="preserve">Fallback to initials avatar when photo URL fails to load</t>
  </si>
  <si>
    <t xml:space="preserve">AquaID — Test Summary Report</t>
  </si>
  <si>
    <t xml:space="preserve">Manual QA Execution Results | All Modules | February 2026</t>
  </si>
  <si>
    <t xml:space="preserve">📈 OVERALL EXECUTION METRICS</t>
  </si>
  <si>
    <t xml:space="preserve">Metric</t>
  </si>
  <si>
    <t xml:space="preserve">Value</t>
  </si>
  <si>
    <t xml:space="preserve">Total Test Cases Designed</t>
  </si>
  <si>
    <t xml:space="preserve">Total Test Cases Executed</t>
  </si>
  <si>
    <t xml:space="preserve">Passed</t>
  </si>
  <si>
    <t xml:space="preserve">Failed</t>
  </si>
  <si>
    <t xml:space="preserve">Blocked</t>
  </si>
  <si>
    <t xml:space="preserve">Pass Rate (%)</t>
  </si>
  <si>
    <t xml:space="preserve">Total Bugs Raised</t>
  </si>
  <si>
    <t xml:space="preserve">🐞 BUG SEVERITY BREAKDOWN</t>
  </si>
  <si>
    <t xml:space="preserve">Count</t>
  </si>
  <si>
    <t xml:space="preserve">🔴 Critical</t>
  </si>
  <si>
    <t xml:space="preserve">🟠 Major</t>
  </si>
  <si>
    <t xml:space="preserve">🟡 Minor</t>
  </si>
  <si>
    <t xml:space="preserve">🟢 Trivial</t>
  </si>
  <si>
    <t xml:space="preserve">🗂️ RESULTS BY MODULE</t>
  </si>
  <si>
    <t xml:space="preserve">TCs Designed</t>
  </si>
  <si>
    <t xml:space="preserve">🔍 KEY FINDINGS &amp; RECOMMENDATIONS</t>
  </si>
  <si>
    <t xml:space="preserve">Finding</t>
  </si>
  <si>
    <t xml:space="preserve">Detail</t>
  </si>
  <si>
    <t xml:space="preserve">CRITICAL – Offline crash</t>
  </si>
  <si>
    <t xml:space="preserve">App shows blank white screen during fish identification with no network. Unhandled promise rejection. Immediate fix required.</t>
  </si>
  <si>
    <t xml:space="preserve">HIGH – File upload validation missing</t>
  </si>
  <si>
    <t xml:space="preserve">No client-side restriction on file type or size for image upload. Non-image files reach the server causing 500 errors.</t>
  </si>
  <si>
    <t xml:space="preserve">HIGH – Audio on Safari iOS</t>
  </si>
  <si>
    <t xml:space="preserve">Audio player non-functional on Safari iOS — key platform for mobile users. Needs cross-browser audio testing.</t>
  </si>
  <si>
    <t xml:space="preserve">HIGH – Google SSO email update</t>
  </si>
  <si>
    <t xml:space="preserve">Changing email for Google SSO accounts throws unhandled Firebase error requiring re-authentication. Error not communicated to user.</t>
  </si>
  <si>
    <t xml:space="preserve">MEDIUM – Missing empty states</t>
  </si>
  <si>
    <t xml:space="preserve">Multiple pages (Articles, Nearby Aquariums) lack empty state UI, showing spinners indefinitely instead of user-friendly 'No data' messages.</t>
  </si>
  <si>
    <t xml:space="preserve">MEDIUM – No delete confirmation</t>
  </si>
  <si>
    <t xml:space="preserve">Fish removal from My Aquarium is immediate without confirmation. Risk of accidental data loss.</t>
  </si>
  <si>
    <t xml:space="preserve">MEDIUM – Map radius slider</t>
  </si>
  <si>
    <t xml:space="preserve">Changing search radius on Nearby Aquariums page does not trigger automatic map refresh, creating confusing UX.</t>
  </si>
  <si>
    <t xml:space="preserve">LOW – Minor UX improvements</t>
  </si>
  <si>
    <t xml:space="preserve">Broken image fallbacks, avatar expiry handling, comparison of duplicate fish, and filter state persistence are low-severity but recommended for polish.</t>
  </si>
  <si>
    <t xml:space="preserve">✅ RELEASE RECOMMENDATION</t>
  </si>
  <si>
    <t xml:space="preserve">⚠️  NOT RECOMMENDED FOR PRODUCTION RELEASE without resolving BUG-006 (offline crash) and BUG-004 (file upload validation). Remaining open bugs are medium-to-low severity and may be tracked for a follow-up patch release. Re-test required after fixes are applied.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</si>
</sst>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\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7F8C8D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2980B9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0"/>
      <color rgb="FF7B341E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3C5E"/>
        <bgColor rgb="FF333333"/>
      </patternFill>
    </fill>
    <fill>
      <patternFill patternType="solid">
        <fgColor rgb="FF0D7377"/>
        <bgColor rgb="FF1E8449"/>
      </patternFill>
    </fill>
    <fill>
      <patternFill patternType="solid">
        <fgColor rgb="FFE6F7F8"/>
        <bgColor rgb="FFEBF5FB"/>
      </patternFill>
    </fill>
    <fill>
      <patternFill patternType="solid">
        <fgColor rgb="FFFFFFFF"/>
        <bgColor rgb="FFFEF9E7"/>
      </patternFill>
    </fill>
    <fill>
      <patternFill patternType="solid">
        <fgColor rgb="FFFEF9E7"/>
        <bgColor rgb="FFFFF3E0"/>
      </patternFill>
    </fill>
    <fill>
      <patternFill patternType="solid">
        <fgColor rgb="FFD5F5E3"/>
        <bgColor rgb="FFE6F7F8"/>
      </patternFill>
    </fill>
    <fill>
      <patternFill patternType="solid">
        <fgColor rgb="FFF2F4F7"/>
        <bgColor rgb="FFF2F3F4"/>
      </patternFill>
    </fill>
    <fill>
      <patternFill patternType="solid">
        <fgColor rgb="FFEAFAF1"/>
        <bgColor rgb="FFE6F7F8"/>
      </patternFill>
    </fill>
    <fill>
      <patternFill patternType="solid">
        <fgColor rgb="FFF2F3F4"/>
        <bgColor rgb="FFF2F4F7"/>
      </patternFill>
    </fill>
    <fill>
      <patternFill patternType="solid">
        <fgColor rgb="FFFDEDEC"/>
        <bgColor rgb="FFFFF3E0"/>
      </patternFill>
    </fill>
    <fill>
      <patternFill patternType="solid">
        <fgColor rgb="FFEBF5FB"/>
        <bgColor rgb="FFE6F7F8"/>
      </patternFill>
    </fill>
    <fill>
      <patternFill patternType="solid">
        <fgColor rgb="FFFFF3CD"/>
        <bgColor rgb="FFFFF3E0"/>
      </patternFill>
    </fill>
    <fill>
      <patternFill patternType="solid">
        <fgColor rgb="FFFFF3E0"/>
        <bgColor rgb="FFFEF9E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 diagonalUp="false" diagonalDown="false">
      <left style="thin">
        <color rgb="FFD0D5DD"/>
      </left>
      <right/>
      <top style="thin">
        <color rgb="FFD0D5DD"/>
      </top>
      <bottom style="thin">
        <color rgb="FFD0D5DD"/>
      </bottom>
      <diagonal/>
    </border>
    <border diagonalUp="false" diagonalDown="false">
      <left style="medium">
        <color rgb="FFD0D5DD"/>
      </left>
      <right/>
      <top style="medium">
        <color rgb="FFD0D5DD"/>
      </top>
      <bottom style="medium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F2F3F4"/>
      <rgbColor rgb="FF7F8C8D"/>
      <rgbColor rgb="FF9999FF"/>
      <rgbColor rgb="FFC0392B"/>
      <rgbColor rgb="FFFFF3CD"/>
      <rgbColor rgb="FFE6F7F8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EAFAF1"/>
      <rgbColor rgb="FFD5F5E3"/>
      <rgbColor rgb="FFFFF3E0"/>
      <rgbColor rgb="FFEBF5FB"/>
      <rgbColor rgb="FFF2F4F7"/>
      <rgbColor rgb="FFCC99FF"/>
      <rgbColor rgb="FFFDEDEC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1A3C5E"/>
      <rgbColor rgb="FF1E8449"/>
      <rgbColor rgb="FF003300"/>
      <rgbColor rgb="FF333300"/>
      <rgbColor rgb="FF7B34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5" min="4" style="0" width="20"/>
  </cols>
  <sheetData>
    <row r="2" customFormat="false" ht="49.5" hidden="false" customHeight="true" outlineLevel="0" collapsed="false">
      <c r="B2" s="1" t="s">
        <v>0</v>
      </c>
      <c r="C2" s="1"/>
      <c r="D2" s="1"/>
      <c r="E2" s="1"/>
    </row>
    <row r="3" customFormat="false" ht="15" hidden="false" customHeight="false" outlineLevel="0" collapsed="false">
      <c r="B3" s="2" t="s">
        <v>1</v>
      </c>
      <c r="C3" s="2"/>
      <c r="D3" s="2"/>
      <c r="E3" s="2"/>
    </row>
    <row r="5" customFormat="false" ht="21.75" hidden="false" customHeight="true" outlineLevel="0" collapsed="false">
      <c r="B5" s="3" t="s">
        <v>2</v>
      </c>
      <c r="C5" s="4" t="s">
        <v>3</v>
      </c>
      <c r="D5" s="4"/>
      <c r="E5" s="4"/>
    </row>
    <row r="6" customFormat="false" ht="21.75" hidden="false" customHeight="true" outlineLevel="0" collapsed="false">
      <c r="B6" s="3" t="s">
        <v>4</v>
      </c>
      <c r="C6" s="4" t="s">
        <v>5</v>
      </c>
      <c r="D6" s="4"/>
      <c r="E6" s="4"/>
    </row>
    <row r="7" customFormat="false" ht="21.75" hidden="false" customHeight="true" outlineLevel="0" collapsed="false">
      <c r="B7" s="3" t="s">
        <v>6</v>
      </c>
      <c r="C7" s="4" t="s">
        <v>7</v>
      </c>
      <c r="D7" s="4"/>
      <c r="E7" s="4"/>
    </row>
    <row r="8" customFormat="false" ht="21.75" hidden="false" customHeight="true" outlineLevel="0" collapsed="false">
      <c r="B8" s="3" t="s">
        <v>8</v>
      </c>
      <c r="C8" s="4" t="s">
        <v>9</v>
      </c>
      <c r="D8" s="4"/>
      <c r="E8" s="4"/>
    </row>
    <row r="9" customFormat="false" ht="21.75" hidden="false" customHeight="true" outlineLevel="0" collapsed="false">
      <c r="B9" s="3" t="s">
        <v>10</v>
      </c>
      <c r="C9" s="4" t="s">
        <v>11</v>
      </c>
      <c r="D9" s="4"/>
      <c r="E9" s="4"/>
    </row>
    <row r="10" customFormat="false" ht="21.75" hidden="false" customHeight="true" outlineLevel="0" collapsed="false">
      <c r="B10" s="3" t="s">
        <v>12</v>
      </c>
      <c r="C10" s="4" t="s">
        <v>13</v>
      </c>
      <c r="D10" s="4"/>
      <c r="E10" s="4"/>
    </row>
    <row r="11" customFormat="false" ht="21.75" hidden="false" customHeight="true" outlineLevel="0" collapsed="false">
      <c r="B11" s="3" t="s">
        <v>14</v>
      </c>
      <c r="C11" s="4" t="s">
        <v>15</v>
      </c>
      <c r="D11" s="4"/>
      <c r="E11" s="4"/>
    </row>
    <row r="12" customFormat="false" ht="21.75" hidden="false" customHeight="true" outlineLevel="0" collapsed="false">
      <c r="B12" s="3" t="s">
        <v>16</v>
      </c>
      <c r="C12" s="4" t="n">
        <f aca="false">COUNTA('📝 Test Cases'!A:A)-1</f>
        <v>58</v>
      </c>
      <c r="D12" s="4"/>
      <c r="E12" s="4"/>
    </row>
    <row r="13" customFormat="false" ht="21.75" hidden="false" customHeight="true" outlineLevel="0" collapsed="false">
      <c r="B13" s="3" t="s">
        <v>17</v>
      </c>
      <c r="C13" s="4" t="n">
        <f aca="false">COUNTA('🐞 Bug Reports'!A:A)-1</f>
        <v>21</v>
      </c>
      <c r="D13" s="4"/>
      <c r="E13" s="4"/>
    </row>
    <row r="15" customFormat="false" ht="19.5" hidden="false" customHeight="true" outlineLevel="0" collapsed="false">
      <c r="B15" s="5" t="s">
        <v>18</v>
      </c>
      <c r="C15" s="5"/>
      <c r="D15" s="5"/>
      <c r="E15" s="5"/>
    </row>
    <row r="16" customFormat="false" ht="21.75" hidden="false" customHeight="true" outlineLevel="0" collapsed="false">
      <c r="B16" s="6" t="s">
        <v>19</v>
      </c>
      <c r="C16" s="4" t="s">
        <v>20</v>
      </c>
      <c r="D16" s="4"/>
      <c r="E16" s="4"/>
    </row>
    <row r="17" customFormat="false" ht="21.75" hidden="false" customHeight="true" outlineLevel="0" collapsed="false">
      <c r="B17" s="7" t="s">
        <v>21</v>
      </c>
      <c r="C17" s="8" t="s">
        <v>22</v>
      </c>
      <c r="D17" s="8"/>
      <c r="E17" s="8"/>
    </row>
    <row r="18" customFormat="false" ht="21.75" hidden="false" customHeight="true" outlineLevel="0" collapsed="false">
      <c r="B18" s="6" t="s">
        <v>23</v>
      </c>
      <c r="C18" s="4" t="s">
        <v>24</v>
      </c>
      <c r="D18" s="4"/>
      <c r="E18" s="4"/>
    </row>
    <row r="19" customFormat="false" ht="21.75" hidden="false" customHeight="true" outlineLevel="0" collapsed="false">
      <c r="B19" s="7" t="s">
        <v>25</v>
      </c>
      <c r="C19" s="8" t="s">
        <v>26</v>
      </c>
      <c r="D19" s="8"/>
      <c r="E19" s="8"/>
    </row>
    <row r="20" customFormat="false" ht="21.75" hidden="false" customHeight="true" outlineLevel="0" collapsed="false">
      <c r="B20" s="6" t="s">
        <v>27</v>
      </c>
      <c r="C20" s="4" t="s">
        <v>28</v>
      </c>
      <c r="D20" s="4"/>
      <c r="E20" s="4"/>
    </row>
    <row r="21" customFormat="false" ht="21.75" hidden="false" customHeight="true" outlineLevel="0" collapsed="false">
      <c r="B21" s="7" t="s">
        <v>29</v>
      </c>
      <c r="C21" s="8" t="s">
        <v>30</v>
      </c>
      <c r="D21" s="8"/>
      <c r="E21" s="8"/>
    </row>
    <row r="22" customFormat="false" ht="21.75" hidden="false" customHeight="true" outlineLevel="0" collapsed="false">
      <c r="B22" s="6" t="s">
        <v>31</v>
      </c>
      <c r="C22" s="4" t="s">
        <v>32</v>
      </c>
      <c r="D22" s="4"/>
      <c r="E22" s="4"/>
    </row>
  </sheetData>
  <mergeCells count="19">
    <mergeCell ref="B2:E2"/>
    <mergeCell ref="B3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B15:E15"/>
    <mergeCell ref="C16:E16"/>
    <mergeCell ref="C17:E17"/>
    <mergeCell ref="C18:E18"/>
    <mergeCell ref="C19:E19"/>
    <mergeCell ref="C20:E20"/>
    <mergeCell ref="C21:E21"/>
    <mergeCell ref="C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5" min="5" style="0" width="32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</cols>
  <sheetData>
    <row r="1" customFormat="false" ht="30" hidden="false" customHeight="true" outlineLevel="0" collapsed="false">
      <c r="A1" s="9" t="s">
        <v>33</v>
      </c>
      <c r="B1" s="9"/>
      <c r="C1" s="9"/>
      <c r="D1" s="9"/>
      <c r="E1" s="9"/>
      <c r="F1" s="9"/>
      <c r="G1" s="9"/>
      <c r="H1" s="9"/>
      <c r="I1" s="9"/>
    </row>
    <row r="2" customFormat="false" ht="15" hidden="false" customHeight="false" outlineLevel="0" collapsed="false">
      <c r="A2" s="10" t="s">
        <v>34</v>
      </c>
      <c r="B2" s="10" t="s">
        <v>35</v>
      </c>
      <c r="C2" s="10" t="s">
        <v>36</v>
      </c>
      <c r="D2" s="10" t="s">
        <v>37</v>
      </c>
      <c r="E2" s="10" t="s">
        <v>38</v>
      </c>
      <c r="F2" s="10" t="s">
        <v>39</v>
      </c>
      <c r="G2" s="10" t="s">
        <v>40</v>
      </c>
      <c r="H2" s="10" t="s">
        <v>41</v>
      </c>
      <c r="I2" s="10" t="s">
        <v>42</v>
      </c>
    </row>
    <row r="3" customFormat="false" ht="60" hidden="false" customHeight="true" outlineLevel="0" collapsed="false">
      <c r="A3" s="11" t="s">
        <v>43</v>
      </c>
      <c r="B3" s="11" t="s">
        <v>19</v>
      </c>
      <c r="C3" s="11" t="s">
        <v>44</v>
      </c>
      <c r="D3" s="11" t="s">
        <v>45</v>
      </c>
      <c r="E3" s="11" t="s">
        <v>46</v>
      </c>
      <c r="F3" s="11" t="s">
        <v>47</v>
      </c>
      <c r="G3" s="12" t="s">
        <v>48</v>
      </c>
      <c r="H3" s="13" t="s">
        <v>49</v>
      </c>
      <c r="I3" s="14" t="s">
        <v>50</v>
      </c>
    </row>
    <row r="4" customFormat="false" ht="60" hidden="false" customHeight="true" outlineLevel="0" collapsed="false">
      <c r="A4" s="15" t="s">
        <v>51</v>
      </c>
      <c r="B4" s="15" t="s">
        <v>19</v>
      </c>
      <c r="C4" s="15" t="s">
        <v>52</v>
      </c>
      <c r="D4" s="15" t="s">
        <v>53</v>
      </c>
      <c r="E4" s="15" t="s">
        <v>54</v>
      </c>
      <c r="F4" s="15" t="s">
        <v>55</v>
      </c>
      <c r="G4" s="12" t="s">
        <v>48</v>
      </c>
      <c r="H4" s="16" t="s">
        <v>56</v>
      </c>
      <c r="I4" s="14" t="s">
        <v>50</v>
      </c>
    </row>
    <row r="5" customFormat="false" ht="60" hidden="false" customHeight="true" outlineLevel="0" collapsed="false">
      <c r="A5" s="11" t="s">
        <v>57</v>
      </c>
      <c r="B5" s="11" t="s">
        <v>19</v>
      </c>
      <c r="C5" s="11" t="s">
        <v>58</v>
      </c>
      <c r="D5" s="11" t="s">
        <v>59</v>
      </c>
      <c r="E5" s="11" t="s">
        <v>60</v>
      </c>
      <c r="F5" s="11" t="s">
        <v>61</v>
      </c>
      <c r="G5" s="12" t="s">
        <v>48</v>
      </c>
      <c r="H5" s="13" t="s">
        <v>56</v>
      </c>
      <c r="I5" s="14" t="s">
        <v>50</v>
      </c>
    </row>
    <row r="6" customFormat="false" ht="60" hidden="false" customHeight="true" outlineLevel="0" collapsed="false">
      <c r="A6" s="15" t="s">
        <v>62</v>
      </c>
      <c r="B6" s="15" t="s">
        <v>19</v>
      </c>
      <c r="C6" s="15" t="s">
        <v>63</v>
      </c>
      <c r="D6" s="15" t="s">
        <v>59</v>
      </c>
      <c r="E6" s="15" t="s">
        <v>64</v>
      </c>
      <c r="F6" s="15" t="s">
        <v>65</v>
      </c>
      <c r="G6" s="17" t="s">
        <v>66</v>
      </c>
      <c r="H6" s="16" t="s">
        <v>56</v>
      </c>
      <c r="I6" s="14" t="s">
        <v>50</v>
      </c>
    </row>
    <row r="7" customFormat="false" ht="60" hidden="false" customHeight="true" outlineLevel="0" collapsed="false">
      <c r="A7" s="11" t="s">
        <v>67</v>
      </c>
      <c r="B7" s="11" t="s">
        <v>19</v>
      </c>
      <c r="C7" s="11" t="s">
        <v>68</v>
      </c>
      <c r="D7" s="11" t="s">
        <v>59</v>
      </c>
      <c r="E7" s="11" t="s">
        <v>69</v>
      </c>
      <c r="F7" s="11" t="s">
        <v>70</v>
      </c>
      <c r="G7" s="17" t="s">
        <v>66</v>
      </c>
      <c r="H7" s="13" t="s">
        <v>56</v>
      </c>
      <c r="I7" s="14" t="s">
        <v>50</v>
      </c>
    </row>
    <row r="8" customFormat="false" ht="60" hidden="false" customHeight="true" outlineLevel="0" collapsed="false">
      <c r="A8" s="15" t="s">
        <v>71</v>
      </c>
      <c r="B8" s="15" t="s">
        <v>19</v>
      </c>
      <c r="C8" s="15" t="s">
        <v>72</v>
      </c>
      <c r="D8" s="15" t="s">
        <v>59</v>
      </c>
      <c r="E8" s="15" t="s">
        <v>73</v>
      </c>
      <c r="F8" s="15" t="s">
        <v>74</v>
      </c>
      <c r="G8" s="17" t="s">
        <v>66</v>
      </c>
      <c r="H8" s="16" t="s">
        <v>75</v>
      </c>
      <c r="I8" s="14" t="s">
        <v>50</v>
      </c>
    </row>
    <row r="9" customFormat="false" ht="60" hidden="false" customHeight="true" outlineLevel="0" collapsed="false">
      <c r="A9" s="11" t="s">
        <v>76</v>
      </c>
      <c r="B9" s="11" t="s">
        <v>19</v>
      </c>
      <c r="C9" s="11" t="s">
        <v>77</v>
      </c>
      <c r="D9" s="11" t="s">
        <v>78</v>
      </c>
      <c r="E9" s="11" t="s">
        <v>79</v>
      </c>
      <c r="F9" s="11" t="s">
        <v>80</v>
      </c>
      <c r="G9" s="12" t="s">
        <v>48</v>
      </c>
      <c r="H9" s="13" t="s">
        <v>49</v>
      </c>
      <c r="I9" s="14" t="s">
        <v>50</v>
      </c>
    </row>
    <row r="10" customFormat="false" ht="60" hidden="false" customHeight="true" outlineLevel="0" collapsed="false">
      <c r="A10" s="15" t="s">
        <v>81</v>
      </c>
      <c r="B10" s="15" t="s">
        <v>19</v>
      </c>
      <c r="C10" s="15" t="s">
        <v>82</v>
      </c>
      <c r="D10" s="15" t="s">
        <v>83</v>
      </c>
      <c r="E10" s="15" t="s">
        <v>84</v>
      </c>
      <c r="F10" s="15" t="s">
        <v>85</v>
      </c>
      <c r="G10" s="12" t="s">
        <v>48</v>
      </c>
      <c r="H10" s="16" t="s">
        <v>49</v>
      </c>
      <c r="I10" s="14" t="s">
        <v>50</v>
      </c>
    </row>
    <row r="11" customFormat="false" ht="60" hidden="false" customHeight="true" outlineLevel="0" collapsed="false">
      <c r="A11" s="11" t="s">
        <v>86</v>
      </c>
      <c r="B11" s="11" t="s">
        <v>19</v>
      </c>
      <c r="C11" s="11" t="s">
        <v>87</v>
      </c>
      <c r="D11" s="11" t="s">
        <v>59</v>
      </c>
      <c r="E11" s="11" t="s">
        <v>88</v>
      </c>
      <c r="F11" s="11" t="s">
        <v>89</v>
      </c>
      <c r="G11" s="12" t="s">
        <v>48</v>
      </c>
      <c r="H11" s="13" t="s">
        <v>56</v>
      </c>
      <c r="I11" s="14" t="s">
        <v>50</v>
      </c>
    </row>
    <row r="12" customFormat="false" ht="60" hidden="false" customHeight="true" outlineLevel="0" collapsed="false">
      <c r="A12" s="15" t="s">
        <v>90</v>
      </c>
      <c r="B12" s="15" t="s">
        <v>19</v>
      </c>
      <c r="C12" s="15" t="s">
        <v>91</v>
      </c>
      <c r="D12" s="15" t="s">
        <v>59</v>
      </c>
      <c r="E12" s="15" t="s">
        <v>92</v>
      </c>
      <c r="F12" s="15" t="s">
        <v>93</v>
      </c>
      <c r="G12" s="17" t="s">
        <v>66</v>
      </c>
      <c r="H12" s="16" t="s">
        <v>56</v>
      </c>
      <c r="I12" s="14" t="s">
        <v>50</v>
      </c>
    </row>
    <row r="13" customFormat="false" ht="60" hidden="false" customHeight="true" outlineLevel="0" collapsed="false">
      <c r="A13" s="11" t="s">
        <v>94</v>
      </c>
      <c r="B13" s="11" t="s">
        <v>19</v>
      </c>
      <c r="C13" s="11" t="s">
        <v>95</v>
      </c>
      <c r="D13" s="11" t="s">
        <v>96</v>
      </c>
      <c r="E13" s="11" t="s">
        <v>97</v>
      </c>
      <c r="F13" s="11" t="s">
        <v>98</v>
      </c>
      <c r="G13" s="12" t="s">
        <v>48</v>
      </c>
      <c r="H13" s="13" t="s">
        <v>56</v>
      </c>
      <c r="I13" s="14" t="s">
        <v>50</v>
      </c>
    </row>
    <row r="14" customFormat="false" ht="60" hidden="false" customHeight="true" outlineLevel="0" collapsed="false">
      <c r="A14" s="15" t="s">
        <v>99</v>
      </c>
      <c r="B14" s="15" t="s">
        <v>19</v>
      </c>
      <c r="C14" s="15" t="s">
        <v>100</v>
      </c>
      <c r="D14" s="15" t="s">
        <v>53</v>
      </c>
      <c r="E14" s="15" t="s">
        <v>101</v>
      </c>
      <c r="F14" s="15" t="s">
        <v>102</v>
      </c>
      <c r="G14" s="12" t="s">
        <v>48</v>
      </c>
      <c r="H14" s="16" t="s">
        <v>49</v>
      </c>
      <c r="I14" s="14" t="s">
        <v>50</v>
      </c>
    </row>
    <row r="15" customFormat="false" ht="60" hidden="false" customHeight="true" outlineLevel="0" collapsed="false">
      <c r="A15" s="11" t="s">
        <v>103</v>
      </c>
      <c r="B15" s="11" t="s">
        <v>19</v>
      </c>
      <c r="C15" s="11" t="s">
        <v>104</v>
      </c>
      <c r="D15" s="11" t="s">
        <v>59</v>
      </c>
      <c r="E15" s="11" t="s">
        <v>105</v>
      </c>
      <c r="F15" s="11" t="s">
        <v>106</v>
      </c>
      <c r="G15" s="17" t="s">
        <v>66</v>
      </c>
      <c r="H15" s="13" t="s">
        <v>56</v>
      </c>
      <c r="I15" s="18" t="s">
        <v>107</v>
      </c>
    </row>
    <row r="16" customFormat="false" ht="60" hidden="false" customHeight="true" outlineLevel="0" collapsed="false">
      <c r="A16" s="15" t="s">
        <v>108</v>
      </c>
      <c r="B16" s="15" t="s">
        <v>19</v>
      </c>
      <c r="C16" s="15" t="s">
        <v>109</v>
      </c>
      <c r="D16" s="15" t="s">
        <v>110</v>
      </c>
      <c r="E16" s="15" t="s">
        <v>111</v>
      </c>
      <c r="F16" s="15" t="s">
        <v>112</v>
      </c>
      <c r="G16" s="12" t="s">
        <v>48</v>
      </c>
      <c r="H16" s="16" t="s">
        <v>113</v>
      </c>
      <c r="I16" s="14" t="s">
        <v>50</v>
      </c>
    </row>
    <row r="17" customFormat="false" ht="60" hidden="false" customHeight="true" outlineLevel="0" collapsed="false">
      <c r="A17" s="11" t="s">
        <v>114</v>
      </c>
      <c r="B17" s="11" t="s">
        <v>21</v>
      </c>
      <c r="C17" s="11" t="s">
        <v>115</v>
      </c>
      <c r="D17" s="11" t="s">
        <v>116</v>
      </c>
      <c r="E17" s="11" t="s">
        <v>117</v>
      </c>
      <c r="F17" s="11" t="s">
        <v>118</v>
      </c>
      <c r="G17" s="19" t="s">
        <v>119</v>
      </c>
      <c r="H17" s="13" t="s">
        <v>49</v>
      </c>
      <c r="I17" s="14" t="s">
        <v>50</v>
      </c>
    </row>
    <row r="18" customFormat="false" ht="60" hidden="false" customHeight="true" outlineLevel="0" collapsed="false">
      <c r="A18" s="15" t="s">
        <v>120</v>
      </c>
      <c r="B18" s="15" t="s">
        <v>21</v>
      </c>
      <c r="C18" s="15" t="s">
        <v>121</v>
      </c>
      <c r="D18" s="15" t="s">
        <v>122</v>
      </c>
      <c r="E18" s="15" t="s">
        <v>123</v>
      </c>
      <c r="F18" s="15" t="s">
        <v>124</v>
      </c>
      <c r="G18" s="12" t="s">
        <v>48</v>
      </c>
      <c r="H18" s="16" t="s">
        <v>56</v>
      </c>
      <c r="I18" s="14" t="s">
        <v>50</v>
      </c>
    </row>
    <row r="19" customFormat="false" ht="60" hidden="false" customHeight="true" outlineLevel="0" collapsed="false">
      <c r="A19" s="11" t="s">
        <v>125</v>
      </c>
      <c r="B19" s="11" t="s">
        <v>21</v>
      </c>
      <c r="C19" s="11" t="s">
        <v>126</v>
      </c>
      <c r="D19" s="11" t="s">
        <v>122</v>
      </c>
      <c r="E19" s="11" t="s">
        <v>127</v>
      </c>
      <c r="F19" s="11" t="s">
        <v>128</v>
      </c>
      <c r="G19" s="12" t="s">
        <v>48</v>
      </c>
      <c r="H19" s="13" t="s">
        <v>56</v>
      </c>
      <c r="I19" s="18" t="s">
        <v>107</v>
      </c>
    </row>
    <row r="20" customFormat="false" ht="60" hidden="false" customHeight="true" outlineLevel="0" collapsed="false">
      <c r="A20" s="15" t="s">
        <v>129</v>
      </c>
      <c r="B20" s="15" t="s">
        <v>21</v>
      </c>
      <c r="C20" s="15" t="s">
        <v>130</v>
      </c>
      <c r="D20" s="15" t="s">
        <v>122</v>
      </c>
      <c r="E20" s="15" t="s">
        <v>131</v>
      </c>
      <c r="F20" s="15" t="s">
        <v>132</v>
      </c>
      <c r="G20" s="17" t="s">
        <v>66</v>
      </c>
      <c r="H20" s="16" t="s">
        <v>56</v>
      </c>
      <c r="I20" s="14" t="s">
        <v>50</v>
      </c>
    </row>
    <row r="21" customFormat="false" ht="60" hidden="false" customHeight="true" outlineLevel="0" collapsed="false">
      <c r="A21" s="11" t="s">
        <v>133</v>
      </c>
      <c r="B21" s="11" t="s">
        <v>21</v>
      </c>
      <c r="C21" s="11" t="s">
        <v>134</v>
      </c>
      <c r="D21" s="11" t="s">
        <v>135</v>
      </c>
      <c r="E21" s="11" t="s">
        <v>136</v>
      </c>
      <c r="F21" s="11" t="s">
        <v>137</v>
      </c>
      <c r="G21" s="12" t="s">
        <v>48</v>
      </c>
      <c r="H21" s="13" t="s">
        <v>49</v>
      </c>
      <c r="I21" s="14" t="s">
        <v>50</v>
      </c>
    </row>
    <row r="22" customFormat="false" ht="60" hidden="false" customHeight="true" outlineLevel="0" collapsed="false">
      <c r="A22" s="15" t="s">
        <v>138</v>
      </c>
      <c r="B22" s="15" t="s">
        <v>21</v>
      </c>
      <c r="C22" s="15" t="s">
        <v>139</v>
      </c>
      <c r="D22" s="15" t="s">
        <v>122</v>
      </c>
      <c r="E22" s="15" t="s">
        <v>140</v>
      </c>
      <c r="F22" s="15" t="s">
        <v>141</v>
      </c>
      <c r="G22" s="17" t="s">
        <v>66</v>
      </c>
      <c r="H22" s="16" t="s">
        <v>142</v>
      </c>
      <c r="I22" s="14" t="s">
        <v>50</v>
      </c>
    </row>
    <row r="23" customFormat="false" ht="60" hidden="false" customHeight="true" outlineLevel="0" collapsed="false">
      <c r="A23" s="11" t="s">
        <v>143</v>
      </c>
      <c r="B23" s="11" t="s">
        <v>21</v>
      </c>
      <c r="C23" s="11" t="s">
        <v>144</v>
      </c>
      <c r="D23" s="11" t="s">
        <v>145</v>
      </c>
      <c r="E23" s="11" t="s">
        <v>146</v>
      </c>
      <c r="F23" s="11" t="s">
        <v>147</v>
      </c>
      <c r="G23" s="12" t="s">
        <v>48</v>
      </c>
      <c r="H23" s="13" t="s">
        <v>49</v>
      </c>
      <c r="I23" s="14" t="s">
        <v>50</v>
      </c>
    </row>
    <row r="24" customFormat="false" ht="60" hidden="false" customHeight="true" outlineLevel="0" collapsed="false">
      <c r="A24" s="15" t="s">
        <v>148</v>
      </c>
      <c r="B24" s="15" t="s">
        <v>21</v>
      </c>
      <c r="C24" s="15" t="s">
        <v>149</v>
      </c>
      <c r="D24" s="15" t="s">
        <v>150</v>
      </c>
      <c r="E24" s="15" t="s">
        <v>151</v>
      </c>
      <c r="F24" s="15" t="s">
        <v>152</v>
      </c>
      <c r="G24" s="12" t="s">
        <v>48</v>
      </c>
      <c r="H24" s="16" t="s">
        <v>56</v>
      </c>
      <c r="I24" s="18" t="s">
        <v>107</v>
      </c>
    </row>
    <row r="25" customFormat="false" ht="60" hidden="false" customHeight="true" outlineLevel="0" collapsed="false">
      <c r="A25" s="11" t="s">
        <v>153</v>
      </c>
      <c r="B25" s="11" t="s">
        <v>21</v>
      </c>
      <c r="C25" s="11" t="s">
        <v>154</v>
      </c>
      <c r="D25" s="11" t="s">
        <v>122</v>
      </c>
      <c r="E25" s="11" t="s">
        <v>155</v>
      </c>
      <c r="F25" s="11" t="s">
        <v>156</v>
      </c>
      <c r="G25" s="17" t="s">
        <v>66</v>
      </c>
      <c r="H25" s="13" t="s">
        <v>157</v>
      </c>
      <c r="I25" s="18" t="s">
        <v>107</v>
      </c>
    </row>
    <row r="26" customFormat="false" ht="60" hidden="false" customHeight="true" outlineLevel="0" collapsed="false">
      <c r="A26" s="15" t="s">
        <v>158</v>
      </c>
      <c r="B26" s="15" t="s">
        <v>23</v>
      </c>
      <c r="C26" s="15" t="s">
        <v>159</v>
      </c>
      <c r="D26" s="15" t="s">
        <v>160</v>
      </c>
      <c r="E26" s="15" t="s">
        <v>161</v>
      </c>
      <c r="F26" s="15" t="s">
        <v>162</v>
      </c>
      <c r="G26" s="17" t="s">
        <v>66</v>
      </c>
      <c r="H26" s="16" t="s">
        <v>49</v>
      </c>
      <c r="I26" s="14" t="s">
        <v>50</v>
      </c>
    </row>
    <row r="27" customFormat="false" ht="60" hidden="false" customHeight="true" outlineLevel="0" collapsed="false">
      <c r="A27" s="11" t="s">
        <v>163</v>
      </c>
      <c r="B27" s="11" t="s">
        <v>23</v>
      </c>
      <c r="C27" s="11" t="s">
        <v>164</v>
      </c>
      <c r="D27" s="11" t="s">
        <v>165</v>
      </c>
      <c r="E27" s="11" t="s">
        <v>161</v>
      </c>
      <c r="F27" s="11" t="s">
        <v>166</v>
      </c>
      <c r="G27" s="12" t="s">
        <v>48</v>
      </c>
      <c r="H27" s="13" t="s">
        <v>49</v>
      </c>
      <c r="I27" s="14" t="s">
        <v>50</v>
      </c>
    </row>
    <row r="28" customFormat="false" ht="60" hidden="false" customHeight="true" outlineLevel="0" collapsed="false">
      <c r="A28" s="15" t="s">
        <v>167</v>
      </c>
      <c r="B28" s="15" t="s">
        <v>23</v>
      </c>
      <c r="C28" s="15" t="s">
        <v>168</v>
      </c>
      <c r="D28" s="15" t="s">
        <v>169</v>
      </c>
      <c r="E28" s="15" t="s">
        <v>170</v>
      </c>
      <c r="F28" s="15" t="s">
        <v>171</v>
      </c>
      <c r="G28" s="12" t="s">
        <v>48</v>
      </c>
      <c r="H28" s="16" t="s">
        <v>49</v>
      </c>
      <c r="I28" s="14" t="s">
        <v>50</v>
      </c>
    </row>
    <row r="29" customFormat="false" ht="60" hidden="false" customHeight="true" outlineLevel="0" collapsed="false">
      <c r="A29" s="11" t="s">
        <v>172</v>
      </c>
      <c r="B29" s="11" t="s">
        <v>23</v>
      </c>
      <c r="C29" s="11" t="s">
        <v>173</v>
      </c>
      <c r="D29" s="11" t="s">
        <v>174</v>
      </c>
      <c r="E29" s="11" t="s">
        <v>175</v>
      </c>
      <c r="F29" s="11" t="s">
        <v>176</v>
      </c>
      <c r="G29" s="12" t="s">
        <v>48</v>
      </c>
      <c r="H29" s="13" t="s">
        <v>49</v>
      </c>
      <c r="I29" s="14" t="s">
        <v>50</v>
      </c>
    </row>
    <row r="30" customFormat="false" ht="60" hidden="false" customHeight="true" outlineLevel="0" collapsed="false">
      <c r="A30" s="15" t="s">
        <v>177</v>
      </c>
      <c r="B30" s="15" t="s">
        <v>23</v>
      </c>
      <c r="C30" s="15" t="s">
        <v>178</v>
      </c>
      <c r="D30" s="15" t="s">
        <v>174</v>
      </c>
      <c r="E30" s="15" t="s">
        <v>179</v>
      </c>
      <c r="F30" s="15" t="s">
        <v>180</v>
      </c>
      <c r="G30" s="12" t="s">
        <v>48</v>
      </c>
      <c r="H30" s="16" t="s">
        <v>49</v>
      </c>
      <c r="I30" s="14" t="s">
        <v>50</v>
      </c>
    </row>
    <row r="31" customFormat="false" ht="60" hidden="false" customHeight="true" outlineLevel="0" collapsed="false">
      <c r="A31" s="11" t="s">
        <v>181</v>
      </c>
      <c r="B31" s="11" t="s">
        <v>23</v>
      </c>
      <c r="C31" s="11" t="s">
        <v>182</v>
      </c>
      <c r="D31" s="11" t="s">
        <v>183</v>
      </c>
      <c r="E31" s="11" t="s">
        <v>184</v>
      </c>
      <c r="F31" s="11" t="s">
        <v>185</v>
      </c>
      <c r="G31" s="17" t="s">
        <v>66</v>
      </c>
      <c r="H31" s="13" t="s">
        <v>49</v>
      </c>
      <c r="I31" s="14" t="s">
        <v>50</v>
      </c>
    </row>
    <row r="32" customFormat="false" ht="60" hidden="false" customHeight="true" outlineLevel="0" collapsed="false">
      <c r="A32" s="15" t="s">
        <v>186</v>
      </c>
      <c r="B32" s="15" t="s">
        <v>23</v>
      </c>
      <c r="C32" s="15" t="s">
        <v>187</v>
      </c>
      <c r="D32" s="15" t="s">
        <v>188</v>
      </c>
      <c r="E32" s="15" t="s">
        <v>189</v>
      </c>
      <c r="F32" s="15" t="s">
        <v>190</v>
      </c>
      <c r="G32" s="12" t="s">
        <v>48</v>
      </c>
      <c r="H32" s="16" t="s">
        <v>49</v>
      </c>
      <c r="I32" s="18" t="s">
        <v>107</v>
      </c>
    </row>
    <row r="33" customFormat="false" ht="60" hidden="false" customHeight="true" outlineLevel="0" collapsed="false">
      <c r="A33" s="11" t="s">
        <v>191</v>
      </c>
      <c r="B33" s="11" t="s">
        <v>25</v>
      </c>
      <c r="C33" s="11" t="s">
        <v>192</v>
      </c>
      <c r="D33" s="11" t="s">
        <v>193</v>
      </c>
      <c r="E33" s="11" t="s">
        <v>194</v>
      </c>
      <c r="F33" s="11" t="s">
        <v>195</v>
      </c>
      <c r="G33" s="17" t="s">
        <v>66</v>
      </c>
      <c r="H33" s="13" t="s">
        <v>49</v>
      </c>
      <c r="I33" s="14" t="s">
        <v>50</v>
      </c>
    </row>
    <row r="34" customFormat="false" ht="60" hidden="false" customHeight="true" outlineLevel="0" collapsed="false">
      <c r="A34" s="15" t="s">
        <v>196</v>
      </c>
      <c r="B34" s="15" t="s">
        <v>25</v>
      </c>
      <c r="C34" s="15" t="s">
        <v>197</v>
      </c>
      <c r="D34" s="15" t="s">
        <v>198</v>
      </c>
      <c r="E34" s="15" t="s">
        <v>199</v>
      </c>
      <c r="F34" s="15" t="s">
        <v>200</v>
      </c>
      <c r="G34" s="12" t="s">
        <v>48</v>
      </c>
      <c r="H34" s="16" t="s">
        <v>49</v>
      </c>
      <c r="I34" s="14" t="s">
        <v>50</v>
      </c>
    </row>
    <row r="35" customFormat="false" ht="60" hidden="false" customHeight="true" outlineLevel="0" collapsed="false">
      <c r="A35" s="11" t="s">
        <v>201</v>
      </c>
      <c r="B35" s="11" t="s">
        <v>25</v>
      </c>
      <c r="C35" s="11" t="s">
        <v>202</v>
      </c>
      <c r="D35" s="11" t="s">
        <v>203</v>
      </c>
      <c r="E35" s="11" t="s">
        <v>204</v>
      </c>
      <c r="F35" s="11" t="s">
        <v>205</v>
      </c>
      <c r="G35" s="12" t="s">
        <v>48</v>
      </c>
      <c r="H35" s="13" t="s">
        <v>49</v>
      </c>
      <c r="I35" s="14" t="s">
        <v>50</v>
      </c>
    </row>
    <row r="36" customFormat="false" ht="60" hidden="false" customHeight="true" outlineLevel="0" collapsed="false">
      <c r="A36" s="15" t="s">
        <v>206</v>
      </c>
      <c r="B36" s="15" t="s">
        <v>25</v>
      </c>
      <c r="C36" s="15" t="s">
        <v>207</v>
      </c>
      <c r="D36" s="15" t="s">
        <v>208</v>
      </c>
      <c r="E36" s="15" t="s">
        <v>209</v>
      </c>
      <c r="F36" s="15" t="s">
        <v>210</v>
      </c>
      <c r="G36" s="17" t="s">
        <v>66</v>
      </c>
      <c r="H36" s="16" t="s">
        <v>49</v>
      </c>
      <c r="I36" s="14" t="s">
        <v>50</v>
      </c>
    </row>
    <row r="37" customFormat="false" ht="60" hidden="false" customHeight="true" outlineLevel="0" collapsed="false">
      <c r="A37" s="11" t="s">
        <v>211</v>
      </c>
      <c r="B37" s="11" t="s">
        <v>25</v>
      </c>
      <c r="C37" s="11" t="s">
        <v>212</v>
      </c>
      <c r="D37" s="11" t="s">
        <v>213</v>
      </c>
      <c r="E37" s="11" t="s">
        <v>214</v>
      </c>
      <c r="F37" s="11" t="s">
        <v>215</v>
      </c>
      <c r="G37" s="17" t="s">
        <v>66</v>
      </c>
      <c r="H37" s="13" t="s">
        <v>49</v>
      </c>
      <c r="I37" s="14" t="s">
        <v>50</v>
      </c>
    </row>
    <row r="38" customFormat="false" ht="60" hidden="false" customHeight="true" outlineLevel="0" collapsed="false">
      <c r="A38" s="15" t="s">
        <v>216</v>
      </c>
      <c r="B38" s="15" t="s">
        <v>25</v>
      </c>
      <c r="C38" s="15" t="s">
        <v>217</v>
      </c>
      <c r="D38" s="15" t="s">
        <v>218</v>
      </c>
      <c r="E38" s="15" t="s">
        <v>219</v>
      </c>
      <c r="F38" s="15" t="s">
        <v>220</v>
      </c>
      <c r="G38" s="20" t="s">
        <v>221</v>
      </c>
      <c r="H38" s="16" t="s">
        <v>157</v>
      </c>
      <c r="I38" s="18" t="s">
        <v>107</v>
      </c>
    </row>
    <row r="39" customFormat="false" ht="60" hidden="false" customHeight="true" outlineLevel="0" collapsed="false">
      <c r="A39" s="11" t="s">
        <v>222</v>
      </c>
      <c r="B39" s="11" t="s">
        <v>27</v>
      </c>
      <c r="C39" s="11" t="s">
        <v>223</v>
      </c>
      <c r="D39" s="11" t="s">
        <v>193</v>
      </c>
      <c r="E39" s="11" t="s">
        <v>224</v>
      </c>
      <c r="F39" s="11" t="s">
        <v>225</v>
      </c>
      <c r="G39" s="12" t="s">
        <v>48</v>
      </c>
      <c r="H39" s="13" t="s">
        <v>49</v>
      </c>
      <c r="I39" s="14" t="s">
        <v>50</v>
      </c>
    </row>
    <row r="40" customFormat="false" ht="60" hidden="false" customHeight="true" outlineLevel="0" collapsed="false">
      <c r="A40" s="15" t="s">
        <v>226</v>
      </c>
      <c r="B40" s="15" t="s">
        <v>27</v>
      </c>
      <c r="C40" s="15" t="s">
        <v>227</v>
      </c>
      <c r="D40" s="15" t="s">
        <v>208</v>
      </c>
      <c r="E40" s="15" t="s">
        <v>228</v>
      </c>
      <c r="F40" s="15" t="s">
        <v>229</v>
      </c>
      <c r="G40" s="12" t="s">
        <v>48</v>
      </c>
      <c r="H40" s="16" t="s">
        <v>49</v>
      </c>
      <c r="I40" s="14" t="s">
        <v>50</v>
      </c>
    </row>
    <row r="41" customFormat="false" ht="60" hidden="false" customHeight="true" outlineLevel="0" collapsed="false">
      <c r="A41" s="11" t="s">
        <v>230</v>
      </c>
      <c r="B41" s="11" t="s">
        <v>27</v>
      </c>
      <c r="C41" s="11" t="s">
        <v>231</v>
      </c>
      <c r="D41" s="11" t="s">
        <v>232</v>
      </c>
      <c r="E41" s="11" t="s">
        <v>233</v>
      </c>
      <c r="F41" s="11" t="s">
        <v>234</v>
      </c>
      <c r="G41" s="12" t="s">
        <v>48</v>
      </c>
      <c r="H41" s="13" t="s">
        <v>49</v>
      </c>
      <c r="I41" s="14" t="s">
        <v>50</v>
      </c>
    </row>
    <row r="42" customFormat="false" ht="60" hidden="false" customHeight="true" outlineLevel="0" collapsed="false">
      <c r="A42" s="15" t="s">
        <v>235</v>
      </c>
      <c r="B42" s="15" t="s">
        <v>27</v>
      </c>
      <c r="C42" s="15" t="s">
        <v>236</v>
      </c>
      <c r="D42" s="15" t="s">
        <v>237</v>
      </c>
      <c r="E42" s="15" t="s">
        <v>238</v>
      </c>
      <c r="F42" s="15" t="s">
        <v>239</v>
      </c>
      <c r="G42" s="17" t="s">
        <v>66</v>
      </c>
      <c r="H42" s="16" t="s">
        <v>49</v>
      </c>
      <c r="I42" s="14" t="s">
        <v>50</v>
      </c>
    </row>
    <row r="43" customFormat="false" ht="60" hidden="false" customHeight="true" outlineLevel="0" collapsed="false">
      <c r="A43" s="11" t="s">
        <v>240</v>
      </c>
      <c r="B43" s="11" t="s">
        <v>27</v>
      </c>
      <c r="C43" s="11" t="s">
        <v>241</v>
      </c>
      <c r="D43" s="11" t="s">
        <v>232</v>
      </c>
      <c r="E43" s="11" t="s">
        <v>242</v>
      </c>
      <c r="F43" s="11" t="s">
        <v>243</v>
      </c>
      <c r="G43" s="17" t="s">
        <v>66</v>
      </c>
      <c r="H43" s="13" t="s">
        <v>56</v>
      </c>
      <c r="I43" s="14" t="s">
        <v>50</v>
      </c>
    </row>
    <row r="44" customFormat="false" ht="60" hidden="false" customHeight="true" outlineLevel="0" collapsed="false">
      <c r="A44" s="15" t="s">
        <v>244</v>
      </c>
      <c r="B44" s="15" t="s">
        <v>27</v>
      </c>
      <c r="C44" s="15" t="s">
        <v>245</v>
      </c>
      <c r="D44" s="15" t="s">
        <v>246</v>
      </c>
      <c r="E44" s="15" t="s">
        <v>224</v>
      </c>
      <c r="F44" s="15" t="s">
        <v>247</v>
      </c>
      <c r="G44" s="20" t="s">
        <v>221</v>
      </c>
      <c r="H44" s="16" t="s">
        <v>157</v>
      </c>
      <c r="I44" s="18" t="s">
        <v>107</v>
      </c>
    </row>
    <row r="45" customFormat="false" ht="60" hidden="false" customHeight="true" outlineLevel="0" collapsed="false">
      <c r="A45" s="11" t="s">
        <v>248</v>
      </c>
      <c r="B45" s="11" t="s">
        <v>27</v>
      </c>
      <c r="C45" s="11" t="s">
        <v>249</v>
      </c>
      <c r="D45" s="11" t="s">
        <v>250</v>
      </c>
      <c r="E45" s="11" t="s">
        <v>251</v>
      </c>
      <c r="F45" s="11" t="s">
        <v>252</v>
      </c>
      <c r="G45" s="17" t="s">
        <v>66</v>
      </c>
      <c r="H45" s="13" t="s">
        <v>49</v>
      </c>
      <c r="I45" s="18" t="s">
        <v>107</v>
      </c>
    </row>
    <row r="46" customFormat="false" ht="60" hidden="false" customHeight="true" outlineLevel="0" collapsed="false">
      <c r="A46" s="15" t="s">
        <v>253</v>
      </c>
      <c r="B46" s="15" t="s">
        <v>29</v>
      </c>
      <c r="C46" s="15" t="s">
        <v>254</v>
      </c>
      <c r="D46" s="15" t="s">
        <v>255</v>
      </c>
      <c r="E46" s="15" t="s">
        <v>256</v>
      </c>
      <c r="F46" s="15" t="s">
        <v>257</v>
      </c>
      <c r="G46" s="12" t="s">
        <v>48</v>
      </c>
      <c r="H46" s="16" t="s">
        <v>49</v>
      </c>
      <c r="I46" s="14" t="s">
        <v>50</v>
      </c>
    </row>
    <row r="47" customFormat="false" ht="60" hidden="false" customHeight="true" outlineLevel="0" collapsed="false">
      <c r="A47" s="11" t="s">
        <v>258</v>
      </c>
      <c r="B47" s="11" t="s">
        <v>29</v>
      </c>
      <c r="C47" s="11" t="s">
        <v>259</v>
      </c>
      <c r="D47" s="11" t="s">
        <v>260</v>
      </c>
      <c r="E47" s="11" t="s">
        <v>261</v>
      </c>
      <c r="F47" s="11" t="s">
        <v>262</v>
      </c>
      <c r="G47" s="12" t="s">
        <v>48</v>
      </c>
      <c r="H47" s="13" t="s">
        <v>49</v>
      </c>
      <c r="I47" s="14" t="s">
        <v>50</v>
      </c>
    </row>
    <row r="48" customFormat="false" ht="60" hidden="false" customHeight="true" outlineLevel="0" collapsed="false">
      <c r="A48" s="15" t="s">
        <v>263</v>
      </c>
      <c r="B48" s="15" t="s">
        <v>29</v>
      </c>
      <c r="C48" s="15" t="s">
        <v>264</v>
      </c>
      <c r="D48" s="15" t="s">
        <v>265</v>
      </c>
      <c r="E48" s="15" t="s">
        <v>266</v>
      </c>
      <c r="F48" s="15" t="s">
        <v>267</v>
      </c>
      <c r="G48" s="12" t="s">
        <v>48</v>
      </c>
      <c r="H48" s="16" t="s">
        <v>56</v>
      </c>
      <c r="I48" s="14" t="s">
        <v>50</v>
      </c>
    </row>
    <row r="49" customFormat="false" ht="60" hidden="false" customHeight="true" outlineLevel="0" collapsed="false">
      <c r="A49" s="11" t="s">
        <v>268</v>
      </c>
      <c r="B49" s="11" t="s">
        <v>29</v>
      </c>
      <c r="C49" s="11" t="s">
        <v>269</v>
      </c>
      <c r="D49" s="11" t="s">
        <v>122</v>
      </c>
      <c r="E49" s="11" t="s">
        <v>270</v>
      </c>
      <c r="F49" s="11" t="s">
        <v>271</v>
      </c>
      <c r="G49" s="12" t="s">
        <v>48</v>
      </c>
      <c r="H49" s="13" t="s">
        <v>49</v>
      </c>
      <c r="I49" s="14" t="s">
        <v>50</v>
      </c>
    </row>
    <row r="50" customFormat="false" ht="60" hidden="false" customHeight="true" outlineLevel="0" collapsed="false">
      <c r="A50" s="15" t="s">
        <v>272</v>
      </c>
      <c r="B50" s="15" t="s">
        <v>29</v>
      </c>
      <c r="C50" s="15" t="s">
        <v>273</v>
      </c>
      <c r="D50" s="15" t="s">
        <v>274</v>
      </c>
      <c r="E50" s="15" t="s">
        <v>275</v>
      </c>
      <c r="F50" s="15" t="s">
        <v>276</v>
      </c>
      <c r="G50" s="17" t="s">
        <v>66</v>
      </c>
      <c r="H50" s="16" t="s">
        <v>49</v>
      </c>
      <c r="I50" s="14" t="s">
        <v>50</v>
      </c>
    </row>
    <row r="51" customFormat="false" ht="60" hidden="false" customHeight="true" outlineLevel="0" collapsed="false">
      <c r="A51" s="11" t="s">
        <v>277</v>
      </c>
      <c r="B51" s="11" t="s">
        <v>29</v>
      </c>
      <c r="C51" s="11" t="s">
        <v>278</v>
      </c>
      <c r="D51" s="11" t="s">
        <v>279</v>
      </c>
      <c r="E51" s="11" t="s">
        <v>280</v>
      </c>
      <c r="F51" s="11" t="s">
        <v>281</v>
      </c>
      <c r="G51" s="17" t="s">
        <v>66</v>
      </c>
      <c r="H51" s="13" t="s">
        <v>49</v>
      </c>
      <c r="I51" s="14" t="s">
        <v>50</v>
      </c>
    </row>
    <row r="52" customFormat="false" ht="60" hidden="false" customHeight="true" outlineLevel="0" collapsed="false">
      <c r="A52" s="15" t="s">
        <v>282</v>
      </c>
      <c r="B52" s="15" t="s">
        <v>29</v>
      </c>
      <c r="C52" s="15" t="s">
        <v>283</v>
      </c>
      <c r="D52" s="15" t="s">
        <v>284</v>
      </c>
      <c r="E52" s="15" t="s">
        <v>285</v>
      </c>
      <c r="F52" s="15" t="s">
        <v>286</v>
      </c>
      <c r="G52" s="17" t="s">
        <v>66</v>
      </c>
      <c r="H52" s="16" t="s">
        <v>56</v>
      </c>
      <c r="I52" s="18" t="s">
        <v>107</v>
      </c>
    </row>
    <row r="53" customFormat="false" ht="60" hidden="false" customHeight="true" outlineLevel="0" collapsed="false">
      <c r="A53" s="11" t="s">
        <v>287</v>
      </c>
      <c r="B53" s="11" t="s">
        <v>31</v>
      </c>
      <c r="C53" s="11" t="s">
        <v>288</v>
      </c>
      <c r="D53" s="11" t="s">
        <v>122</v>
      </c>
      <c r="E53" s="11" t="s">
        <v>289</v>
      </c>
      <c r="F53" s="11" t="s">
        <v>290</v>
      </c>
      <c r="G53" s="17" t="s">
        <v>66</v>
      </c>
      <c r="H53" s="13" t="s">
        <v>49</v>
      </c>
      <c r="I53" s="14" t="s">
        <v>50</v>
      </c>
    </row>
    <row r="54" customFormat="false" ht="60" hidden="false" customHeight="true" outlineLevel="0" collapsed="false">
      <c r="A54" s="15" t="s">
        <v>291</v>
      </c>
      <c r="B54" s="15" t="s">
        <v>31</v>
      </c>
      <c r="C54" s="15" t="s">
        <v>292</v>
      </c>
      <c r="D54" s="15" t="s">
        <v>122</v>
      </c>
      <c r="E54" s="15" t="s">
        <v>293</v>
      </c>
      <c r="F54" s="15" t="s">
        <v>294</v>
      </c>
      <c r="G54" s="12" t="s">
        <v>48</v>
      </c>
      <c r="H54" s="16" t="s">
        <v>49</v>
      </c>
      <c r="I54" s="14" t="s">
        <v>50</v>
      </c>
    </row>
    <row r="55" customFormat="false" ht="60" hidden="false" customHeight="true" outlineLevel="0" collapsed="false">
      <c r="A55" s="11" t="s">
        <v>295</v>
      </c>
      <c r="B55" s="11" t="s">
        <v>31</v>
      </c>
      <c r="C55" s="11" t="s">
        <v>296</v>
      </c>
      <c r="D55" s="11" t="s">
        <v>297</v>
      </c>
      <c r="E55" s="11" t="s">
        <v>298</v>
      </c>
      <c r="F55" s="11" t="s">
        <v>299</v>
      </c>
      <c r="G55" s="12" t="s">
        <v>48</v>
      </c>
      <c r="H55" s="13" t="s">
        <v>49</v>
      </c>
      <c r="I55" s="14" t="s">
        <v>50</v>
      </c>
    </row>
    <row r="56" customFormat="false" ht="60" hidden="false" customHeight="true" outlineLevel="0" collapsed="false">
      <c r="A56" s="15" t="s">
        <v>300</v>
      </c>
      <c r="B56" s="15" t="s">
        <v>31</v>
      </c>
      <c r="C56" s="15" t="s">
        <v>301</v>
      </c>
      <c r="D56" s="15" t="s">
        <v>122</v>
      </c>
      <c r="E56" s="15" t="s">
        <v>302</v>
      </c>
      <c r="F56" s="15" t="s">
        <v>303</v>
      </c>
      <c r="G56" s="17" t="s">
        <v>66</v>
      </c>
      <c r="H56" s="16" t="s">
        <v>56</v>
      </c>
      <c r="I56" s="14" t="s">
        <v>50</v>
      </c>
    </row>
    <row r="57" customFormat="false" ht="60" hidden="false" customHeight="true" outlineLevel="0" collapsed="false">
      <c r="A57" s="11" t="s">
        <v>304</v>
      </c>
      <c r="B57" s="11" t="s">
        <v>31</v>
      </c>
      <c r="C57" s="11" t="s">
        <v>305</v>
      </c>
      <c r="D57" s="11" t="s">
        <v>122</v>
      </c>
      <c r="E57" s="11" t="s">
        <v>306</v>
      </c>
      <c r="F57" s="11" t="s">
        <v>307</v>
      </c>
      <c r="G57" s="17" t="s">
        <v>66</v>
      </c>
      <c r="H57" s="13" t="s">
        <v>56</v>
      </c>
      <c r="I57" s="14" t="s">
        <v>50</v>
      </c>
    </row>
    <row r="58" customFormat="false" ht="60" hidden="false" customHeight="true" outlineLevel="0" collapsed="false">
      <c r="A58" s="15" t="s">
        <v>308</v>
      </c>
      <c r="B58" s="15" t="s">
        <v>31</v>
      </c>
      <c r="C58" s="15" t="s">
        <v>309</v>
      </c>
      <c r="D58" s="15" t="s">
        <v>122</v>
      </c>
      <c r="E58" s="15" t="s">
        <v>310</v>
      </c>
      <c r="F58" s="15" t="s">
        <v>311</v>
      </c>
      <c r="G58" s="12" t="s">
        <v>48</v>
      </c>
      <c r="H58" s="16" t="s">
        <v>49</v>
      </c>
      <c r="I58" s="14" t="s">
        <v>50</v>
      </c>
    </row>
    <row r="59" customFormat="false" ht="60" hidden="false" customHeight="true" outlineLevel="0" collapsed="false">
      <c r="A59" s="11" t="s">
        <v>312</v>
      </c>
      <c r="B59" s="11" t="s">
        <v>31</v>
      </c>
      <c r="C59" s="11" t="s">
        <v>313</v>
      </c>
      <c r="D59" s="11" t="s">
        <v>314</v>
      </c>
      <c r="E59" s="11" t="s">
        <v>315</v>
      </c>
      <c r="F59" s="11" t="s">
        <v>316</v>
      </c>
      <c r="G59" s="20" t="s">
        <v>221</v>
      </c>
      <c r="H59" s="13" t="s">
        <v>75</v>
      </c>
      <c r="I59" s="14" t="s">
        <v>50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20"/>
  </cols>
  <sheetData>
    <row r="1" customFormat="false" ht="30" hidden="false" customHeight="true" outlineLevel="0" collapsed="false">
      <c r="A1" s="9" t="s">
        <v>317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15" hidden="false" customHeight="false" outlineLevel="0" collapsed="false">
      <c r="A2" s="10" t="s">
        <v>318</v>
      </c>
      <c r="B2" s="10" t="s">
        <v>35</v>
      </c>
      <c r="C2" s="10" t="s">
        <v>319</v>
      </c>
      <c r="D2" s="10" t="s">
        <v>320</v>
      </c>
      <c r="E2" s="10" t="s">
        <v>321</v>
      </c>
      <c r="F2" s="10" t="s">
        <v>39</v>
      </c>
      <c r="G2" s="10" t="s">
        <v>322</v>
      </c>
      <c r="H2" s="10" t="s">
        <v>40</v>
      </c>
      <c r="I2" s="10" t="s">
        <v>42</v>
      </c>
      <c r="J2" s="10" t="s">
        <v>323</v>
      </c>
    </row>
    <row r="3" customFormat="false" ht="69.75" hidden="false" customHeight="true" outlineLevel="0" collapsed="false">
      <c r="A3" s="11" t="s">
        <v>324</v>
      </c>
      <c r="B3" s="11" t="s">
        <v>19</v>
      </c>
      <c r="C3" s="11" t="s">
        <v>325</v>
      </c>
      <c r="D3" s="11" t="s">
        <v>326</v>
      </c>
      <c r="E3" s="11" t="s">
        <v>327</v>
      </c>
      <c r="F3" s="11" t="s">
        <v>328</v>
      </c>
      <c r="G3" s="17" t="s">
        <v>329</v>
      </c>
      <c r="H3" s="12" t="s">
        <v>48</v>
      </c>
      <c r="I3" s="11" t="s">
        <v>330</v>
      </c>
      <c r="J3" s="13" t="s">
        <v>62</v>
      </c>
    </row>
    <row r="4" customFormat="false" ht="69.75" hidden="false" customHeight="true" outlineLevel="0" collapsed="false">
      <c r="A4" s="15" t="s">
        <v>331</v>
      </c>
      <c r="B4" s="15" t="s">
        <v>19</v>
      </c>
      <c r="C4" s="15" t="s">
        <v>332</v>
      </c>
      <c r="D4" s="15" t="s">
        <v>333</v>
      </c>
      <c r="E4" s="15" t="s">
        <v>334</v>
      </c>
      <c r="F4" s="15" t="s">
        <v>335</v>
      </c>
      <c r="G4" s="17" t="s">
        <v>329</v>
      </c>
      <c r="H4" s="17" t="s">
        <v>66</v>
      </c>
      <c r="I4" s="15" t="s">
        <v>330</v>
      </c>
      <c r="J4" s="16" t="s">
        <v>103</v>
      </c>
    </row>
    <row r="5" customFormat="false" ht="69.75" hidden="false" customHeight="true" outlineLevel="0" collapsed="false">
      <c r="A5" s="11" t="s">
        <v>336</v>
      </c>
      <c r="B5" s="11" t="s">
        <v>19</v>
      </c>
      <c r="C5" s="11" t="s">
        <v>337</v>
      </c>
      <c r="D5" s="11" t="s">
        <v>338</v>
      </c>
      <c r="E5" s="11" t="s">
        <v>339</v>
      </c>
      <c r="F5" s="11" t="s">
        <v>340</v>
      </c>
      <c r="G5" s="17" t="s">
        <v>329</v>
      </c>
      <c r="H5" s="17" t="s">
        <v>66</v>
      </c>
      <c r="I5" s="11" t="s">
        <v>330</v>
      </c>
      <c r="J5" s="13" t="s">
        <v>76</v>
      </c>
    </row>
    <row r="6" customFormat="false" ht="69.75" hidden="false" customHeight="true" outlineLevel="0" collapsed="false">
      <c r="A6" s="15" t="s">
        <v>341</v>
      </c>
      <c r="B6" s="15" t="s">
        <v>21</v>
      </c>
      <c r="C6" s="15" t="s">
        <v>342</v>
      </c>
      <c r="D6" s="15" t="s">
        <v>343</v>
      </c>
      <c r="E6" s="15" t="s">
        <v>344</v>
      </c>
      <c r="F6" s="15" t="s">
        <v>345</v>
      </c>
      <c r="G6" s="12" t="s">
        <v>346</v>
      </c>
      <c r="H6" s="12" t="s">
        <v>48</v>
      </c>
      <c r="I6" s="15" t="s">
        <v>330</v>
      </c>
      <c r="J6" s="16" t="s">
        <v>125</v>
      </c>
    </row>
    <row r="7" customFormat="false" ht="69.75" hidden="false" customHeight="true" outlineLevel="0" collapsed="false">
      <c r="A7" s="11" t="s">
        <v>347</v>
      </c>
      <c r="B7" s="11" t="s">
        <v>21</v>
      </c>
      <c r="C7" s="11" t="s">
        <v>348</v>
      </c>
      <c r="D7" s="11" t="s">
        <v>349</v>
      </c>
      <c r="E7" s="11" t="s">
        <v>350</v>
      </c>
      <c r="F7" s="11" t="s">
        <v>351</v>
      </c>
      <c r="G7" s="17" t="s">
        <v>329</v>
      </c>
      <c r="H7" s="20" t="s">
        <v>221</v>
      </c>
      <c r="I7" s="11" t="s">
        <v>330</v>
      </c>
      <c r="J7" s="13" t="s">
        <v>114</v>
      </c>
    </row>
    <row r="8" customFormat="false" ht="69.75" hidden="false" customHeight="true" outlineLevel="0" collapsed="false">
      <c r="A8" s="15" t="s">
        <v>352</v>
      </c>
      <c r="B8" s="15" t="s">
        <v>21</v>
      </c>
      <c r="C8" s="15" t="s">
        <v>353</v>
      </c>
      <c r="D8" s="15" t="s">
        <v>354</v>
      </c>
      <c r="E8" s="15" t="s">
        <v>355</v>
      </c>
      <c r="F8" s="15" t="s">
        <v>356</v>
      </c>
      <c r="G8" s="19" t="s">
        <v>119</v>
      </c>
      <c r="H8" s="19" t="s">
        <v>119</v>
      </c>
      <c r="I8" s="15" t="s">
        <v>330</v>
      </c>
      <c r="J8" s="16" t="s">
        <v>148</v>
      </c>
    </row>
    <row r="9" customFormat="false" ht="69.75" hidden="false" customHeight="true" outlineLevel="0" collapsed="false">
      <c r="A9" s="11" t="s">
        <v>357</v>
      </c>
      <c r="B9" s="11" t="s">
        <v>21</v>
      </c>
      <c r="C9" s="11" t="s">
        <v>358</v>
      </c>
      <c r="D9" s="11" t="s">
        <v>359</v>
      </c>
      <c r="E9" s="11" t="s">
        <v>360</v>
      </c>
      <c r="F9" s="11" t="s">
        <v>361</v>
      </c>
      <c r="G9" s="12" t="s">
        <v>346</v>
      </c>
      <c r="H9" s="12" t="s">
        <v>48</v>
      </c>
      <c r="I9" s="11" t="s">
        <v>330</v>
      </c>
      <c r="J9" s="13" t="s">
        <v>153</v>
      </c>
    </row>
    <row r="10" customFormat="false" ht="69.75" hidden="false" customHeight="true" outlineLevel="0" collapsed="false">
      <c r="A10" s="15" t="s">
        <v>362</v>
      </c>
      <c r="B10" s="15" t="s">
        <v>23</v>
      </c>
      <c r="C10" s="15" t="s">
        <v>363</v>
      </c>
      <c r="D10" s="15" t="s">
        <v>364</v>
      </c>
      <c r="E10" s="15" t="s">
        <v>365</v>
      </c>
      <c r="F10" s="15" t="s">
        <v>366</v>
      </c>
      <c r="G10" s="17" t="s">
        <v>329</v>
      </c>
      <c r="H10" s="17" t="s">
        <v>66</v>
      </c>
      <c r="I10" s="15" t="s">
        <v>330</v>
      </c>
      <c r="J10" s="16" t="s">
        <v>177</v>
      </c>
    </row>
    <row r="11" customFormat="false" ht="69.75" hidden="false" customHeight="true" outlineLevel="0" collapsed="false">
      <c r="A11" s="11" t="s">
        <v>367</v>
      </c>
      <c r="B11" s="11" t="s">
        <v>23</v>
      </c>
      <c r="C11" s="11" t="s">
        <v>368</v>
      </c>
      <c r="D11" s="11" t="s">
        <v>369</v>
      </c>
      <c r="E11" s="11" t="s">
        <v>370</v>
      </c>
      <c r="F11" s="11" t="s">
        <v>371</v>
      </c>
      <c r="G11" s="12" t="s">
        <v>346</v>
      </c>
      <c r="H11" s="12" t="s">
        <v>48</v>
      </c>
      <c r="I11" s="11" t="s">
        <v>330</v>
      </c>
      <c r="J11" s="13" t="s">
        <v>172</v>
      </c>
    </row>
    <row r="12" customFormat="false" ht="69.75" hidden="false" customHeight="true" outlineLevel="0" collapsed="false">
      <c r="A12" s="15" t="s">
        <v>372</v>
      </c>
      <c r="B12" s="15" t="s">
        <v>23</v>
      </c>
      <c r="C12" s="15" t="s">
        <v>373</v>
      </c>
      <c r="D12" s="15" t="s">
        <v>374</v>
      </c>
      <c r="E12" s="15" t="s">
        <v>375</v>
      </c>
      <c r="F12" s="15" t="s">
        <v>376</v>
      </c>
      <c r="G12" s="20" t="s">
        <v>377</v>
      </c>
      <c r="H12" s="20" t="s">
        <v>221</v>
      </c>
      <c r="I12" s="15" t="s">
        <v>330</v>
      </c>
      <c r="J12" s="16" t="s">
        <v>181</v>
      </c>
    </row>
    <row r="13" customFormat="false" ht="69.75" hidden="false" customHeight="true" outlineLevel="0" collapsed="false">
      <c r="A13" s="11" t="s">
        <v>378</v>
      </c>
      <c r="B13" s="11" t="s">
        <v>25</v>
      </c>
      <c r="C13" s="11" t="s">
        <v>379</v>
      </c>
      <c r="D13" s="11" t="s">
        <v>380</v>
      </c>
      <c r="E13" s="11" t="s">
        <v>381</v>
      </c>
      <c r="F13" s="11" t="s">
        <v>382</v>
      </c>
      <c r="G13" s="17" t="s">
        <v>329</v>
      </c>
      <c r="H13" s="17" t="s">
        <v>66</v>
      </c>
      <c r="I13" s="11" t="s">
        <v>330</v>
      </c>
      <c r="J13" s="13" t="s">
        <v>216</v>
      </c>
    </row>
    <row r="14" customFormat="false" ht="69.75" hidden="false" customHeight="true" outlineLevel="0" collapsed="false">
      <c r="A14" s="15" t="s">
        <v>383</v>
      </c>
      <c r="B14" s="15" t="s">
        <v>25</v>
      </c>
      <c r="C14" s="15" t="s">
        <v>384</v>
      </c>
      <c r="D14" s="15" t="s">
        <v>385</v>
      </c>
      <c r="E14" s="15" t="s">
        <v>386</v>
      </c>
      <c r="F14" s="15" t="s">
        <v>387</v>
      </c>
      <c r="G14" s="17" t="s">
        <v>329</v>
      </c>
      <c r="H14" s="20" t="s">
        <v>221</v>
      </c>
      <c r="I14" s="15" t="s">
        <v>330</v>
      </c>
      <c r="J14" s="16" t="s">
        <v>201</v>
      </c>
    </row>
    <row r="15" customFormat="false" ht="69.75" hidden="false" customHeight="true" outlineLevel="0" collapsed="false">
      <c r="A15" s="11" t="s">
        <v>388</v>
      </c>
      <c r="B15" s="11" t="s">
        <v>27</v>
      </c>
      <c r="C15" s="11" t="s">
        <v>389</v>
      </c>
      <c r="D15" s="11" t="s">
        <v>390</v>
      </c>
      <c r="E15" s="11" t="s">
        <v>391</v>
      </c>
      <c r="F15" s="11" t="s">
        <v>392</v>
      </c>
      <c r="G15" s="17" t="s">
        <v>329</v>
      </c>
      <c r="H15" s="17" t="s">
        <v>66</v>
      </c>
      <c r="I15" s="11" t="s">
        <v>330</v>
      </c>
      <c r="J15" s="13" t="s">
        <v>222</v>
      </c>
    </row>
    <row r="16" customFormat="false" ht="69.75" hidden="false" customHeight="true" outlineLevel="0" collapsed="false">
      <c r="A16" s="15" t="s">
        <v>393</v>
      </c>
      <c r="B16" s="15" t="s">
        <v>27</v>
      </c>
      <c r="C16" s="15" t="s">
        <v>394</v>
      </c>
      <c r="D16" s="15" t="s">
        <v>395</v>
      </c>
      <c r="E16" s="15" t="s">
        <v>396</v>
      </c>
      <c r="F16" s="15" t="s">
        <v>397</v>
      </c>
      <c r="G16" s="12" t="s">
        <v>346</v>
      </c>
      <c r="H16" s="12" t="s">
        <v>48</v>
      </c>
      <c r="I16" s="15" t="s">
        <v>330</v>
      </c>
      <c r="J16" s="16" t="s">
        <v>235</v>
      </c>
    </row>
    <row r="17" customFormat="false" ht="69.75" hidden="false" customHeight="true" outlineLevel="0" collapsed="false">
      <c r="A17" s="11" t="s">
        <v>398</v>
      </c>
      <c r="B17" s="11" t="s">
        <v>27</v>
      </c>
      <c r="C17" s="11" t="s">
        <v>399</v>
      </c>
      <c r="D17" s="11" t="s">
        <v>400</v>
      </c>
      <c r="E17" s="11" t="s">
        <v>401</v>
      </c>
      <c r="F17" s="11" t="s">
        <v>402</v>
      </c>
      <c r="G17" s="17" t="s">
        <v>329</v>
      </c>
      <c r="H17" s="17" t="s">
        <v>66</v>
      </c>
      <c r="I17" s="11" t="s">
        <v>330</v>
      </c>
      <c r="J17" s="13" t="s">
        <v>244</v>
      </c>
    </row>
    <row r="18" customFormat="false" ht="69.75" hidden="false" customHeight="true" outlineLevel="0" collapsed="false">
      <c r="A18" s="15" t="s">
        <v>403</v>
      </c>
      <c r="B18" s="15" t="s">
        <v>29</v>
      </c>
      <c r="C18" s="15" t="s">
        <v>404</v>
      </c>
      <c r="D18" s="15" t="s">
        <v>405</v>
      </c>
      <c r="E18" s="15" t="s">
        <v>406</v>
      </c>
      <c r="F18" s="15" t="s">
        <v>407</v>
      </c>
      <c r="G18" s="12" t="s">
        <v>346</v>
      </c>
      <c r="H18" s="12" t="s">
        <v>48</v>
      </c>
      <c r="I18" s="15" t="s">
        <v>330</v>
      </c>
      <c r="J18" s="16" t="s">
        <v>253</v>
      </c>
    </row>
    <row r="19" customFormat="false" ht="69.75" hidden="false" customHeight="true" outlineLevel="0" collapsed="false">
      <c r="A19" s="11" t="s">
        <v>408</v>
      </c>
      <c r="B19" s="11" t="s">
        <v>29</v>
      </c>
      <c r="C19" s="11" t="s">
        <v>409</v>
      </c>
      <c r="D19" s="11" t="s">
        <v>410</v>
      </c>
      <c r="E19" s="11" t="s">
        <v>411</v>
      </c>
      <c r="F19" s="11" t="s">
        <v>412</v>
      </c>
      <c r="G19" s="17" t="s">
        <v>329</v>
      </c>
      <c r="H19" s="17" t="s">
        <v>66</v>
      </c>
      <c r="I19" s="11" t="s">
        <v>330</v>
      </c>
      <c r="J19" s="13" t="s">
        <v>272</v>
      </c>
    </row>
    <row r="20" customFormat="false" ht="69.75" hidden="false" customHeight="true" outlineLevel="0" collapsed="false">
      <c r="A20" s="15" t="s">
        <v>413</v>
      </c>
      <c r="B20" s="15" t="s">
        <v>29</v>
      </c>
      <c r="C20" s="15" t="s">
        <v>414</v>
      </c>
      <c r="D20" s="15" t="s">
        <v>415</v>
      </c>
      <c r="E20" s="15" t="s">
        <v>416</v>
      </c>
      <c r="F20" s="15" t="s">
        <v>417</v>
      </c>
      <c r="G20" s="17" t="s">
        <v>329</v>
      </c>
      <c r="H20" s="17" t="s">
        <v>66</v>
      </c>
      <c r="I20" s="15" t="s">
        <v>330</v>
      </c>
      <c r="J20" s="16" t="s">
        <v>282</v>
      </c>
    </row>
    <row r="21" customFormat="false" ht="69.75" hidden="false" customHeight="true" outlineLevel="0" collapsed="false">
      <c r="A21" s="11" t="s">
        <v>418</v>
      </c>
      <c r="B21" s="11" t="s">
        <v>31</v>
      </c>
      <c r="C21" s="11" t="s">
        <v>419</v>
      </c>
      <c r="D21" s="11" t="s">
        <v>420</v>
      </c>
      <c r="E21" s="11" t="s">
        <v>421</v>
      </c>
      <c r="F21" s="11" t="s">
        <v>422</v>
      </c>
      <c r="G21" s="12" t="s">
        <v>346</v>
      </c>
      <c r="H21" s="12" t="s">
        <v>48</v>
      </c>
      <c r="I21" s="11" t="s">
        <v>330</v>
      </c>
      <c r="J21" s="13" t="s">
        <v>295</v>
      </c>
    </row>
    <row r="22" customFormat="false" ht="69.75" hidden="false" customHeight="true" outlineLevel="0" collapsed="false">
      <c r="A22" s="15" t="s">
        <v>423</v>
      </c>
      <c r="B22" s="15" t="s">
        <v>31</v>
      </c>
      <c r="C22" s="15" t="s">
        <v>424</v>
      </c>
      <c r="D22" s="15" t="s">
        <v>425</v>
      </c>
      <c r="E22" s="15" t="s">
        <v>426</v>
      </c>
      <c r="F22" s="15" t="s">
        <v>427</v>
      </c>
      <c r="G22" s="17" t="s">
        <v>329</v>
      </c>
      <c r="H22" s="20" t="s">
        <v>221</v>
      </c>
      <c r="I22" s="15" t="s">
        <v>330</v>
      </c>
      <c r="J22" s="16" t="s">
        <v>312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5" min="3" style="0" width="18"/>
  </cols>
  <sheetData>
    <row r="2" customFormat="false" ht="45" hidden="false" customHeight="true" outlineLevel="0" collapsed="false">
      <c r="B2" s="21" t="s">
        <v>428</v>
      </c>
      <c r="C2" s="21"/>
      <c r="D2" s="21"/>
      <c r="E2" s="21"/>
    </row>
    <row r="3" customFormat="false" ht="15" hidden="false" customHeight="true" outlineLevel="0" collapsed="false">
      <c r="B3" s="22" t="s">
        <v>429</v>
      </c>
      <c r="C3" s="22"/>
      <c r="D3" s="22"/>
      <c r="E3" s="22"/>
    </row>
    <row r="5" customFormat="false" ht="24" hidden="false" customHeight="true" outlineLevel="0" collapsed="false">
      <c r="B5" s="5" t="s">
        <v>430</v>
      </c>
      <c r="C5" s="5"/>
      <c r="D5" s="5"/>
      <c r="E5" s="5"/>
    </row>
    <row r="6" customFormat="false" ht="26.85" hidden="false" customHeight="false" outlineLevel="0" collapsed="false">
      <c r="A6" s="10" t="s">
        <v>431</v>
      </c>
      <c r="B6" s="10" t="s">
        <v>432</v>
      </c>
      <c r="C6" s="10"/>
      <c r="D6" s="10"/>
    </row>
    <row r="7" customFormat="false" ht="19.5" hidden="false" customHeight="true" outlineLevel="0" collapsed="false">
      <c r="B7" s="6" t="s">
        <v>433</v>
      </c>
      <c r="C7" s="13" t="n">
        <f aca="false">COUNTA('📝 Test Cases'!A:A)-2</f>
        <v>57</v>
      </c>
      <c r="D7" s="13"/>
      <c r="E7" s="13"/>
    </row>
    <row r="8" customFormat="false" ht="19.5" hidden="false" customHeight="true" outlineLevel="0" collapsed="false">
      <c r="B8" s="6" t="s">
        <v>434</v>
      </c>
      <c r="C8" s="13" t="n">
        <f aca="false">COUNTIF('📝 Test Cases'!I:I,"Pass")+COUNTIF('📝 Test Cases'!I:I,"Fail")+COUNTIF('📝 Test Cases'!I:I,"Blocked")</f>
        <v>48</v>
      </c>
      <c r="D8" s="13"/>
      <c r="E8" s="13"/>
    </row>
    <row r="9" customFormat="false" ht="19.5" hidden="false" customHeight="true" outlineLevel="0" collapsed="false">
      <c r="B9" s="6" t="s">
        <v>107</v>
      </c>
      <c r="C9" s="13" t="n">
        <f aca="false">COUNTIF('📝 Test Cases'!I:I,"Not Tested")</f>
        <v>9</v>
      </c>
      <c r="D9" s="13"/>
      <c r="E9" s="13"/>
    </row>
    <row r="10" customFormat="false" ht="19.5" hidden="false" customHeight="true" outlineLevel="0" collapsed="false">
      <c r="B10" s="6" t="s">
        <v>435</v>
      </c>
      <c r="C10" s="23" t="n">
        <f aca="false">COUNTIF('📝 Test Cases'!I:I,"Pass")</f>
        <v>48</v>
      </c>
      <c r="D10" s="23"/>
      <c r="E10" s="23"/>
    </row>
    <row r="11" customFormat="false" ht="19.5" hidden="false" customHeight="true" outlineLevel="0" collapsed="false">
      <c r="B11" s="6" t="s">
        <v>436</v>
      </c>
      <c r="C11" s="24" t="n">
        <f aca="false">COUNTIF('📝 Test Cases'!I:I,"Fail")</f>
        <v>0</v>
      </c>
      <c r="D11" s="24"/>
      <c r="E11" s="24"/>
    </row>
    <row r="12" customFormat="false" ht="19.5" hidden="false" customHeight="true" outlineLevel="0" collapsed="false">
      <c r="B12" s="6" t="s">
        <v>437</v>
      </c>
      <c r="C12" s="25" t="n">
        <f aca="false">COUNTIF('📝 Test Cases'!I:I,"Blocked")</f>
        <v>0</v>
      </c>
      <c r="D12" s="25"/>
      <c r="E12" s="25"/>
    </row>
    <row r="13" customFormat="false" ht="19.5" hidden="false" customHeight="true" outlineLevel="0" collapsed="false">
      <c r="B13" s="6" t="s">
        <v>438</v>
      </c>
      <c r="C13" s="26" t="n">
        <f aca="false">IFERROR(COUNTIF('📝 Test Cases'!I:I,"Pass")/(COUNTIF('📝 Test Cases'!I:I,"Pass")+COUNTIF('📝 Test Cases'!I:I,"Fail"))*100,0)</f>
        <v>100</v>
      </c>
      <c r="D13" s="13"/>
      <c r="E13" s="13"/>
    </row>
    <row r="14" customFormat="false" ht="19.5" hidden="false" customHeight="true" outlineLevel="0" collapsed="false">
      <c r="B14" s="6" t="s">
        <v>439</v>
      </c>
      <c r="C14" s="13" t="n">
        <f aca="false">COUNTA('🐞 Bug Reports'!A:A)-2</f>
        <v>20</v>
      </c>
      <c r="D14" s="13"/>
      <c r="E14" s="13"/>
    </row>
    <row r="16" customFormat="false" ht="24" hidden="false" customHeight="true" outlineLevel="0" collapsed="false">
      <c r="B16" s="5" t="s">
        <v>440</v>
      </c>
      <c r="C16" s="5"/>
      <c r="D16" s="5"/>
      <c r="E16" s="5"/>
    </row>
    <row r="17" customFormat="false" ht="39.55" hidden="false" customHeight="false" outlineLevel="0" collapsed="false">
      <c r="A17" s="10" t="s">
        <v>322</v>
      </c>
      <c r="B17" s="10" t="s">
        <v>441</v>
      </c>
      <c r="C17" s="10"/>
      <c r="D17" s="10"/>
    </row>
    <row r="18" customFormat="false" ht="19.5" hidden="false" customHeight="true" outlineLevel="0" collapsed="false">
      <c r="B18" s="6" t="s">
        <v>442</v>
      </c>
      <c r="C18" s="24" t="n">
        <f aca="false">COUNTIF('🐞 Bug Reports'!G:G,"Critical")</f>
        <v>1</v>
      </c>
      <c r="D18" s="24"/>
      <c r="E18" s="24"/>
    </row>
    <row r="19" customFormat="false" ht="19.5" hidden="false" customHeight="true" outlineLevel="0" collapsed="false">
      <c r="B19" s="6" t="s">
        <v>443</v>
      </c>
      <c r="C19" s="27" t="n">
        <f aca="false">COUNTIF('🐞 Bug Reports'!G:G,"Major")</f>
        <v>6</v>
      </c>
      <c r="D19" s="27"/>
      <c r="E19" s="27"/>
    </row>
    <row r="20" customFormat="false" ht="19.5" hidden="false" customHeight="true" outlineLevel="0" collapsed="false">
      <c r="B20" s="6" t="s">
        <v>444</v>
      </c>
      <c r="C20" s="25" t="n">
        <f aca="false">COUNTIF('🐞 Bug Reports'!G:G,"Minor")</f>
        <v>12</v>
      </c>
      <c r="D20" s="25"/>
      <c r="E20" s="25"/>
    </row>
    <row r="21" customFormat="false" ht="19.5" hidden="false" customHeight="true" outlineLevel="0" collapsed="false">
      <c r="B21" s="6" t="s">
        <v>445</v>
      </c>
      <c r="C21" s="23" t="n">
        <f aca="false">COUNTIF('🐞 Bug Reports'!G:G,"Trivial")</f>
        <v>1</v>
      </c>
      <c r="D21" s="23"/>
      <c r="E21" s="23"/>
    </row>
    <row r="23" customFormat="false" ht="24" hidden="false" customHeight="true" outlineLevel="0" collapsed="false">
      <c r="B23" s="5" t="s">
        <v>446</v>
      </c>
      <c r="C23" s="5"/>
      <c r="D23" s="5"/>
      <c r="E23" s="5"/>
    </row>
    <row r="24" customFormat="false" ht="39.55" hidden="false" customHeight="false" outlineLevel="0" collapsed="false">
      <c r="A24" s="10" t="s">
        <v>35</v>
      </c>
      <c r="B24" s="10" t="s">
        <v>447</v>
      </c>
      <c r="C24" s="10" t="s">
        <v>435</v>
      </c>
      <c r="D24" s="10" t="s">
        <v>107</v>
      </c>
    </row>
    <row r="25" customFormat="false" ht="19.5" hidden="false" customHeight="true" outlineLevel="0" collapsed="false">
      <c r="B25" s="6" t="s">
        <v>19</v>
      </c>
      <c r="C25" s="13" t="n">
        <f aca="false">COUNTIF('📝 Test Cases'!B:B,"Authentication")</f>
        <v>14</v>
      </c>
      <c r="D25" s="13" t="n">
        <f aca="false">COUNTIFS('📝 Test Cases'!B:B,"Authentication",'📝 Test Cases'!I:I,"Pass")</f>
        <v>13</v>
      </c>
      <c r="E25" s="13" t="n">
        <f aca="false">COUNTIFS('📝 Test Cases'!B:B,"Authentication",'📝 Test Cases'!I:I,"Not Tested")</f>
        <v>1</v>
      </c>
    </row>
    <row r="26" customFormat="false" ht="19.5" hidden="false" customHeight="true" outlineLevel="0" collapsed="false">
      <c r="B26" s="6" t="s">
        <v>21</v>
      </c>
      <c r="C26" s="16" t="n">
        <f aca="false">COUNTIF('📝 Test Cases'!B:B,"Fish Identification")</f>
        <v>9</v>
      </c>
      <c r="D26" s="16" t="n">
        <f aca="false">COUNTIFS('📝 Test Cases'!B:B,"Fish Identification",'📝 Test Cases'!I:I,"Pass")</f>
        <v>6</v>
      </c>
      <c r="E26" s="16" t="n">
        <f aca="false">COUNTIFS('📝 Test Cases'!B:B,"Fish Identification",'📝 Test Cases'!I:I,"Not Tested")</f>
        <v>3</v>
      </c>
    </row>
    <row r="27" customFormat="false" ht="19.5" hidden="false" customHeight="true" outlineLevel="0" collapsed="false">
      <c r="B27" s="6" t="s">
        <v>23</v>
      </c>
      <c r="C27" s="13" t="n">
        <f aca="false">COUNTIF('📝 Test Cases'!B:B,"My Aquarium")</f>
        <v>7</v>
      </c>
      <c r="D27" s="13" t="n">
        <f aca="false">COUNTIFS('📝 Test Cases'!B:B,"My Aquarium",'📝 Test Cases'!I:I,"Pass")</f>
        <v>6</v>
      </c>
      <c r="E27" s="13" t="n">
        <f aca="false">COUNTIFS('📝 Test Cases'!B:B,"My Aquarium",'📝 Test Cases'!I:I,"Not Tested")</f>
        <v>1</v>
      </c>
    </row>
    <row r="28" customFormat="false" ht="19.5" hidden="false" customHeight="true" outlineLevel="0" collapsed="false">
      <c r="B28" s="6" t="s">
        <v>25</v>
      </c>
      <c r="C28" s="16" t="n">
        <f aca="false">COUNTIF('📝 Test Cases'!B:B,"Compare Fish")</f>
        <v>6</v>
      </c>
      <c r="D28" s="16" t="n">
        <f aca="false">COUNTIFS('📝 Test Cases'!B:B,"Compare Fish",'📝 Test Cases'!I:I,"Pass")</f>
        <v>5</v>
      </c>
      <c r="E28" s="16" t="n">
        <f aca="false">COUNTIFS('📝 Test Cases'!B:B,"Compare Fish",'📝 Test Cases'!I:I,"Not Tested")</f>
        <v>1</v>
      </c>
    </row>
    <row r="29" customFormat="false" ht="19.5" hidden="false" customHeight="true" outlineLevel="0" collapsed="false">
      <c r="B29" s="6" t="s">
        <v>27</v>
      </c>
      <c r="C29" s="13" t="n">
        <f aca="false">COUNTIF('📝 Test Cases'!B:B,"Explore &amp; Articles")</f>
        <v>7</v>
      </c>
      <c r="D29" s="13" t="n">
        <f aca="false">COUNTIFS('📝 Test Cases'!B:B,"Explore &amp; Articles",'📝 Test Cases'!I:I,"Pass")</f>
        <v>5</v>
      </c>
      <c r="E29" s="13" t="n">
        <f aca="false">COUNTIFS('📝 Test Cases'!B:B,"Explore &amp; Articles",'📝 Test Cases'!I:I,"Not Tested")</f>
        <v>2</v>
      </c>
    </row>
    <row r="30" customFormat="false" ht="19.5" hidden="false" customHeight="true" outlineLevel="0" collapsed="false">
      <c r="B30" s="6" t="s">
        <v>29</v>
      </c>
      <c r="C30" s="16" t="n">
        <f aca="false">COUNTIF('📝 Test Cases'!B:B,"Nearby Aquariums")</f>
        <v>7</v>
      </c>
      <c r="D30" s="16" t="n">
        <f aca="false">COUNTIFS('📝 Test Cases'!B:B,"Nearby Aquariums",'📝 Test Cases'!I:I,"Pass")</f>
        <v>6</v>
      </c>
      <c r="E30" s="16" t="n">
        <f aca="false">COUNTIFS('📝 Test Cases'!B:B,"Nearby Aquariums",'📝 Test Cases'!I:I,"Not Tested")</f>
        <v>1</v>
      </c>
    </row>
    <row r="31" customFormat="false" ht="19.5" hidden="false" customHeight="true" outlineLevel="0" collapsed="false">
      <c r="B31" s="6" t="s">
        <v>31</v>
      </c>
      <c r="C31" s="13" t="n">
        <f aca="false">COUNTIF('📝 Test Cases'!B:B,"Profile")</f>
        <v>7</v>
      </c>
      <c r="D31" s="13" t="n">
        <f aca="false">COUNTIFS('📝 Test Cases'!B:B,"Profile",'📝 Test Cases'!I:I,"Pass")</f>
        <v>7</v>
      </c>
      <c r="E31" s="13" t="n">
        <f aca="false">COUNTIFS('📝 Test Cases'!B:B,"Profile",'📝 Test Cases'!I:I,"Not Tested")</f>
        <v>0</v>
      </c>
    </row>
    <row r="33" customFormat="false" ht="24" hidden="false" customHeight="true" outlineLevel="0" collapsed="false">
      <c r="B33" s="5" t="s">
        <v>448</v>
      </c>
      <c r="C33" s="5"/>
      <c r="D33" s="5"/>
      <c r="E33" s="5"/>
    </row>
    <row r="34" customFormat="false" ht="19.5" hidden="false" customHeight="true" outlineLevel="0" collapsed="false">
      <c r="A34" s="10" t="s">
        <v>449</v>
      </c>
      <c r="B34" s="10" t="s">
        <v>450</v>
      </c>
      <c r="C34" s="10"/>
      <c r="D34" s="10"/>
    </row>
    <row r="35" customFormat="false" ht="39.75" hidden="false" customHeight="true" outlineLevel="0" collapsed="false">
      <c r="B35" s="7" t="s">
        <v>451</v>
      </c>
      <c r="C35" s="8" t="s">
        <v>452</v>
      </c>
      <c r="D35" s="8"/>
      <c r="E35" s="8"/>
    </row>
    <row r="36" customFormat="false" ht="39.75" hidden="false" customHeight="true" outlineLevel="0" collapsed="false">
      <c r="B36" s="28" t="s">
        <v>453</v>
      </c>
      <c r="C36" s="29" t="s">
        <v>454</v>
      </c>
      <c r="D36" s="29"/>
      <c r="E36" s="29"/>
    </row>
    <row r="37" customFormat="false" ht="39.75" hidden="false" customHeight="true" outlineLevel="0" collapsed="false">
      <c r="B37" s="7" t="s">
        <v>455</v>
      </c>
      <c r="C37" s="8" t="s">
        <v>456</v>
      </c>
      <c r="D37" s="8"/>
      <c r="E37" s="8"/>
    </row>
    <row r="38" customFormat="false" ht="39.75" hidden="false" customHeight="true" outlineLevel="0" collapsed="false">
      <c r="B38" s="28" t="s">
        <v>457</v>
      </c>
      <c r="C38" s="29" t="s">
        <v>458</v>
      </c>
      <c r="D38" s="29"/>
      <c r="E38" s="29"/>
    </row>
    <row r="39" customFormat="false" ht="39.75" hidden="false" customHeight="true" outlineLevel="0" collapsed="false">
      <c r="B39" s="7" t="s">
        <v>459</v>
      </c>
      <c r="C39" s="8" t="s">
        <v>460</v>
      </c>
      <c r="D39" s="8"/>
      <c r="E39" s="8"/>
    </row>
    <row r="40" customFormat="false" ht="39.75" hidden="false" customHeight="true" outlineLevel="0" collapsed="false">
      <c r="B40" s="28" t="s">
        <v>461</v>
      </c>
      <c r="C40" s="29" t="s">
        <v>462</v>
      </c>
      <c r="D40" s="29"/>
      <c r="E40" s="29"/>
    </row>
    <row r="41" customFormat="false" ht="39.75" hidden="false" customHeight="true" outlineLevel="0" collapsed="false">
      <c r="B41" s="7" t="s">
        <v>463</v>
      </c>
      <c r="C41" s="8" t="s">
        <v>464</v>
      </c>
      <c r="D41" s="8"/>
      <c r="E41" s="8"/>
    </row>
    <row r="42" customFormat="false" ht="39.75" hidden="false" customHeight="true" outlineLevel="0" collapsed="false">
      <c r="B42" s="28" t="s">
        <v>465</v>
      </c>
      <c r="C42" s="29" t="s">
        <v>466</v>
      </c>
      <c r="D42" s="29"/>
      <c r="E42" s="29"/>
    </row>
    <row r="44" customFormat="false" ht="24" hidden="false" customHeight="true" outlineLevel="0" collapsed="false">
      <c r="B44" s="5" t="s">
        <v>467</v>
      </c>
      <c r="C44" s="5"/>
      <c r="D44" s="5"/>
      <c r="E44" s="5"/>
    </row>
    <row r="45" customFormat="false" ht="49.5" hidden="false" customHeight="true" outlineLevel="0" collapsed="false">
      <c r="B45" s="30" t="s">
        <v>468</v>
      </c>
      <c r="C45" s="30"/>
      <c r="D45" s="30"/>
      <c r="E45" s="30"/>
    </row>
  </sheetData>
  <mergeCells count="16">
    <mergeCell ref="B2:E2"/>
    <mergeCell ref="B3:E3"/>
    <mergeCell ref="B5:E5"/>
    <mergeCell ref="B16:E16"/>
    <mergeCell ref="B23:E23"/>
    <mergeCell ref="B33:E33"/>
    <mergeCell ref="C35:E35"/>
    <mergeCell ref="C36:E36"/>
    <mergeCell ref="C37:E37"/>
    <mergeCell ref="C38:E38"/>
    <mergeCell ref="C39:E39"/>
    <mergeCell ref="C40:E40"/>
    <mergeCell ref="C41:E41"/>
    <mergeCell ref="C42:E42"/>
    <mergeCell ref="B44:E44"/>
    <mergeCell ref="B45:E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2026-02-18T05:12:46Z</dcterms:created>
  <dc:creator>openpyxl</dc:creator>
  <dc:description/>
  <dc:language>en-US</dc:language>
  <cp:lastModifiedBy/>
  <dcterms:modified xsi:type="dcterms:W3CDTF">2026-02-18T05:12:47Z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