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📡 API Overview" sheetId="1" state="visible" r:id="rId3"/>
    <sheet name="🧪 API Test Cases" sheetId="2" state="visible" r:id="rId4"/>
    <sheet name="🐞 API Bugs" sheetId="3" state="visible" r:id="rId5"/>
    <sheet name="📊 API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<sst xmlns="http://schemas.openxmlformats.org/spreadsheetml/2006/main" count="716" uniqueCount="384">
  <si>
    <t xml:space="preserve">🐟  AquaID — REST API Testing Report</t>
  </si>
  <si>
    <t xml:space="preserve">Endpoint Reference | Test Cases | Bug Reports | Summary  |  Manual QA  |  February 2026</t>
  </si>
  <si>
    <t xml:space="preserve">📋 ENDPOINT REFERENCE</t>
  </si>
  <si>
    <t xml:space="preserve">Method</t>
  </si>
  <si>
    <t xml:space="preserve">Endpoint</t>
  </si>
  <si>
    <t xml:space="preserve">Auth Required</t>
  </si>
  <si>
    <t xml:space="preserve">Description</t>
  </si>
  <si>
    <t xml:space="preserve">Request Body / Params</t>
  </si>
  <si>
    <t xml:space="preserve">Success Code</t>
  </si>
  <si>
    <t xml:space="preserve">Error Codes</t>
  </si>
  <si>
    <t xml:space="preserve">GET</t>
  </si>
  <si>
    <t xml:space="preserve">/health</t>
  </si>
  <si>
    <t xml:space="preserve">No</t>
  </si>
  <si>
    <t xml:space="preserve">Server health check</t>
  </si>
  <si>
    <t xml:space="preserve">—</t>
  </si>
  <si>
    <t xml:space="preserve">200</t>
  </si>
  <si>
    <t xml:space="preserve">POST</t>
  </si>
  <si>
    <t xml:space="preserve">/api/identify</t>
  </si>
  <si>
    <t xml:space="preserve">Upload fish image → AI identification</t>
  </si>
  <si>
    <t xml:space="preserve">multipart/form-data: image (file)</t>
  </si>
  <si>
    <t xml:space="preserve">400, 500</t>
  </si>
  <si>
    <t xml:space="preserve">/api/articles/generate</t>
  </si>
  <si>
    <t xml:space="preserve">Yes</t>
  </si>
  <si>
    <t xml:space="preserve">Generate AI article + save to Firestore</t>
  </si>
  <si>
    <t xml:space="preserve">multipart/form-data: speciesName, language, image</t>
  </si>
  <si>
    <t xml:space="preserve">/api/articles</t>
  </si>
  <si>
    <t xml:space="preserve">Get all articles for current user</t>
  </si>
  <si>
    <t xml:space="preserve">401, 500</t>
  </si>
  <si>
    <t xml:space="preserve">/api/articles/:articleId</t>
  </si>
  <si>
    <t xml:space="preserve">Get specific article by ID</t>
  </si>
  <si>
    <t xml:space="preserve">Path param: articleId</t>
  </si>
  <si>
    <t xml:space="preserve">401, 403, 404, 500</t>
  </si>
  <si>
    <t xml:space="preserve">/api/articles/:articleId/comments</t>
  </si>
  <si>
    <t xml:space="preserve">Get comments for an article</t>
  </si>
  <si>
    <t xml:space="preserve">500</t>
  </si>
  <si>
    <t xml:space="preserve">Add comment to an article</t>
  </si>
  <si>
    <t xml:space="preserve">Body: { content, rating }</t>
  </si>
  <si>
    <t xml:space="preserve">201</t>
  </si>
  <si>
    <t xml:space="preserve">400, 404, 500</t>
  </si>
  <si>
    <t xml:space="preserve">DELETE</t>
  </si>
  <si>
    <t xml:space="preserve">Delete an article</t>
  </si>
  <si>
    <t xml:space="preserve">/api/my-aquarium</t>
  </si>
  <si>
    <t xml:space="preserve">Get all fish in user's aquarium</t>
  </si>
  <si>
    <t xml:space="preserve">/api/my-aquarium/add</t>
  </si>
  <si>
    <t xml:space="preserve">Add fish to aquarium</t>
  </si>
  <si>
    <t xml:space="preserve">Body: { articleId, speciesName, imageUrl, careDifficulty, notes, reminders }</t>
  </si>
  <si>
    <t xml:space="preserve">400, 401, 500</t>
  </si>
  <si>
    <t xml:space="preserve">PUT</t>
  </si>
  <si>
    <t xml:space="preserve">/api/my-aquarium/:fishId</t>
  </si>
  <si>
    <t xml:space="preserve">Update fish notes/reminders</t>
  </si>
  <si>
    <t xml:space="preserve">Path: fishId | Body: { notes, reminders }</t>
  </si>
  <si>
    <t xml:space="preserve">401, 404, 500</t>
  </si>
  <si>
    <t xml:space="preserve">Remove fish from aquarium</t>
  </si>
  <si>
    <t xml:space="preserve">Path param: fishId</t>
  </si>
  <si>
    <t xml:space="preserve">/api/compare</t>
  </si>
  <si>
    <t xml:space="preserve">Compare two fish articles</t>
  </si>
  <si>
    <t xml:space="preserve">Query: fish1=&lt;id&gt;&amp;fish2=&lt;id&gt;</t>
  </si>
  <si>
    <t xml:space="preserve">400, 401, 404, 500</t>
  </si>
  <si>
    <t xml:space="preserve">/api/text-to-speech</t>
  </si>
  <si>
    <t xml:space="preserve">Generate MP3 audio for article</t>
  </si>
  <si>
    <t xml:space="preserve">Body: { articleId }</t>
  </si>
  <si>
    <t xml:space="preserve">400, 401, 403, 404, 429, 500</t>
  </si>
  <si>
    <t xml:space="preserve">🔐  Authentication: Firebase ID Token passed as  Authorization: Bearer &lt;token&gt;  header. Protected routes return 401 if token is missing/invalid. Rate limit: /api/text-to-speech allows max 5 requests/hour/user (HTTP 429 on exceed).</t>
  </si>
  <si>
    <t xml:space="preserve">AquaID — API Test Cases</t>
  </si>
  <si>
    <t xml:space="preserve">Manual API Testing via Postman  |  All Endpoints  |  February 2026</t>
  </si>
  <si>
    <t xml:space="preserve">TC ID</t>
  </si>
  <si>
    <t xml:space="preserve">Request / Payload</t>
  </si>
  <si>
    <t xml:space="preserve">Expected Response</t>
  </si>
  <si>
    <t xml:space="preserve">Actual Response</t>
  </si>
  <si>
    <t xml:space="preserve">Priority</t>
  </si>
  <si>
    <t xml:space="preserve">Type</t>
  </si>
  <si>
    <t xml:space="preserve">Status</t>
  </si>
  <si>
    <t xml:space="preserve">API-HC-001</t>
  </si>
  <si>
    <t xml:space="preserve">Server health check returns 200 OK</t>
  </si>
  <si>
    <t xml:space="preserve">No headers required</t>
  </si>
  <si>
    <t xml:space="preserve">200 OK
{"status": "ok"}</t>
  </si>
  <si>
    <t xml:space="preserve">High</t>
  </si>
  <si>
    <t xml:space="preserve">Positive</t>
  </si>
  <si>
    <t xml:space="preserve">Pass</t>
  </si>
  <si>
    <t xml:space="preserve">API-ID-001</t>
  </si>
  <si>
    <t xml:space="preserve">Valid fish image returns full identification JSON</t>
  </si>
  <si>
    <t xml:space="preserve">multipart/form-data
Key: image
Value: guppy.jpg (valid fish photo)</t>
  </si>
  <si>
    <t xml:space="preserve">200 OK
JSON with all 11 fields: speciesName, scientificName, commonNames, description, coloration, habitat, careInstructions, diet, breeding, compatibility, careDifficulty</t>
  </si>
  <si>
    <t xml:space="preserve">200 OK
All 11 fields present; careDifficulty = 'beginner'</t>
  </si>
  <si>
    <t xml:space="preserve">Critical</t>
  </si>
  <si>
    <t xml:space="preserve">API-ID-002</t>
  </si>
  <si>
    <t xml:space="preserve">Request with no image returns 400</t>
  </si>
  <si>
    <t xml:space="preserve">multipart/form-data
(no image field attached)</t>
  </si>
  <si>
    <t xml:space="preserve">400 Bad Request
{"error": "No image file provided"}</t>
  </si>
  <si>
    <t xml:space="preserve">Negative</t>
  </si>
  <si>
    <t xml:space="preserve">API-ID-003</t>
  </si>
  <si>
    <t xml:space="preserve">Non-fish image handled gracefully</t>
  </si>
  <si>
    <t xml:space="preserve">multipart/form-data
Key: image
Value: landscape.jpg</t>
  </si>
  <si>
    <t xml:space="preserve">200 OK
AI returns best-effort identification or descriptive fallback; no crash</t>
  </si>
  <si>
    <t xml:space="preserve">200 OK
Returns data but speciesName is generic; no 500 error</t>
  </si>
  <si>
    <t xml:space="preserve">API-ID-004</t>
  </si>
  <si>
    <t xml:space="preserve">careDifficulty is always one of allowed enum values</t>
  </si>
  <si>
    <t xml:space="preserve">multipart/form-data
Key: image
Value: various fish images</t>
  </si>
  <si>
    <t xml:space="preserve">careDifficulty in response is strictly 'beginner' | 'intermediate' | 'expert'</t>
  </si>
  <si>
    <t xml:space="preserve">careDifficulty = 'intermediate' (default applied when AI returns unexpected value)</t>
  </si>
  <si>
    <t xml:space="preserve">Validation</t>
  </si>
  <si>
    <t xml:space="preserve">API-ID-005</t>
  </si>
  <si>
    <t xml:space="preserve">Image exceeding 5MB is rejected</t>
  </si>
  <si>
    <t xml:space="preserve">multipart/form-data
Key: image
Value: large_fish.jpg (&gt;5MB)</t>
  </si>
  <si>
    <t xml:space="preserve">413 Payload Too Large or server-side size error</t>
  </si>
  <si>
    <t xml:space="preserve">Server silently drops large file; returns 500 with no descriptive message</t>
  </si>
  <si>
    <t xml:space="preserve">Fail</t>
  </si>
  <si>
    <t xml:space="preserve">API-ID-006</t>
  </si>
  <si>
    <t xml:space="preserve">Non-image file type (PDF) handled</t>
  </si>
  <si>
    <t xml:space="preserve">multipart/form-data
Key: image
Value: document.pdf</t>
  </si>
  <si>
    <t xml:space="preserve">400 Bad Request with clear error message about file type</t>
  </si>
  <si>
    <t xml:space="preserve">File accepted; Gemini API returns 500 error internally</t>
  </si>
  <si>
    <t xml:space="preserve">API-ART-001</t>
  </si>
  <si>
    <t xml:space="preserve">Generate article with valid speciesName returns 200 + saves to Firestore</t>
  </si>
  <si>
    <t xml:space="preserve">Headers: Authorization: Bearer &lt;token&gt;
multipart/form-data
speciesName: 'Betta Splendens'
language: 'en'</t>
  </si>
  <si>
    <t xml:space="preserve">200 OK
{message, articleId, articleContent, tags, scientificName, imageUrl}</t>
  </si>
  <si>
    <t xml:space="preserve">200 OK
All fields present; article saved to Firestore</t>
  </si>
  <si>
    <t xml:space="preserve">API-ART-002</t>
  </si>
  <si>
    <t xml:space="preserve">Missing speciesName returns 400</t>
  </si>
  <si>
    <t xml:space="preserve">Headers: Authorization: Bearer &lt;token&gt;
multipart/form-data
(no speciesName field)</t>
  </si>
  <si>
    <t xml:space="preserve">400 Bad Request
{"error": "Species name is required"}</t>
  </si>
  <si>
    <t xml:space="preserve">API-ART-003</t>
  </si>
  <si>
    <t xml:space="preserve">Request without auth token returns 401</t>
  </si>
  <si>
    <t xml:space="preserve">No Authorization header
Body: speciesName: 'Guppy'</t>
  </si>
  <si>
    <t xml:space="preserve">401 Unauthorized
{"error": "Unauthorized: No token provided"}</t>
  </si>
  <si>
    <t xml:space="preserve">Security</t>
  </si>
  <si>
    <t xml:space="preserve">API-ART-004</t>
  </si>
  <si>
    <t xml:space="preserve">Expired/invalid token returns 401</t>
  </si>
  <si>
    <t xml:space="preserve">Authorization: Bearer invalidtoken123
Body: speciesName: 'Guppy'</t>
  </si>
  <si>
    <t xml:space="preserve">401 Unauthorized
{"error": "Unauthorized: Invalid token"}</t>
  </si>
  <si>
    <t xml:space="preserve">API-ART-005</t>
  </si>
  <si>
    <t xml:space="preserve">Authenticated user gets list of their articles</t>
  </si>
  <si>
    <t xml:space="preserve">Headers: Authorization: Bearer &lt;valid_token&gt;</t>
  </si>
  <si>
    <t xml:space="preserve">200 OK
{articles: [array of article objects]}</t>
  </si>
  <si>
    <t xml:space="preserve">200 OK
Articles array returned with correct userId filter</t>
  </si>
  <si>
    <t xml:space="preserve">API-ART-006</t>
  </si>
  <si>
    <t xml:space="preserve">Response only contains articles owned by requesting user</t>
  </si>
  <si>
    <t xml:space="preserve">Headers: Authorization: Bearer &lt;user_A_token&gt;</t>
  </si>
  <si>
    <t xml:space="preserve">200 OK
Only articles where userId == user_A's UID</t>
  </si>
  <si>
    <t xml:space="preserve">200 OK
Correct — no cross-user data returned</t>
  </si>
  <si>
    <t xml:space="preserve">API-ART-007</t>
  </si>
  <si>
    <t xml:space="preserve">Get specific article by valid ID</t>
  </si>
  <si>
    <t xml:space="preserve">Headers: Authorization: Bearer &lt;token&gt;
Path: /api/articles/abc123</t>
  </si>
  <si>
    <t xml:space="preserve">200 OK
Full article object with all fields</t>
  </si>
  <si>
    <t xml:space="preserve">200 OK
All fields returned correctly</t>
  </si>
  <si>
    <t xml:space="preserve">API-ART-008</t>
  </si>
  <si>
    <t xml:space="preserve">Non-existent article ID returns 404</t>
  </si>
  <si>
    <t xml:space="preserve">Headers: Authorization: Bearer &lt;token&gt;
Path: /api/articles/nonexistentid</t>
  </si>
  <si>
    <t xml:space="preserve">404 Not Found
{"error": "Article not found"}</t>
  </si>
  <si>
    <t xml:space="preserve">API-ART-009</t>
  </si>
  <si>
    <t xml:space="preserve">User B accessing User A's private article returns 403</t>
  </si>
  <si>
    <t xml:space="preserve">Headers: Authorization: Bearer &lt;user_B_token&gt;
Path: user_A's article ID</t>
  </si>
  <si>
    <t xml:space="preserve">403 Forbidden
{"error": "Not authorized to access this article"}</t>
  </si>
  <si>
    <t xml:space="preserve">API-ART-010</t>
  </si>
  <si>
    <t xml:space="preserve">Get comments for a valid article</t>
  </si>
  <si>
    <t xml:space="preserve">Headers: Authorization: Bearer &lt;token&gt;
Path: /api/articles/:id/comments</t>
  </si>
  <si>
    <t xml:space="preserve">200 OK
{comments: [array]}</t>
  </si>
  <si>
    <t xml:space="preserve">200 OK
Empty array when no comments; correct order desc</t>
  </si>
  <si>
    <t xml:space="preserve">Medium</t>
  </si>
  <si>
    <t xml:space="preserve">API-ART-011</t>
  </si>
  <si>
    <t xml:space="preserve">Add comment with valid content</t>
  </si>
  <si>
    <t xml:space="preserve">Headers: Authorization: Bearer &lt;token&gt;
Body: {content: 'Great article!', rating: 5}</t>
  </si>
  <si>
    <t xml:space="preserve">201 Created
{message: "Comment added successfully", commentId: "..."}</t>
  </si>
  <si>
    <t xml:space="preserve">201 Created
commentId returned; comment visible via GET comments</t>
  </si>
  <si>
    <t xml:space="preserve">API-ART-012</t>
  </si>
  <si>
    <t xml:space="preserve">Comment with empty content returns 400</t>
  </si>
  <si>
    <t xml:space="preserve">Headers: Authorization: Bearer &lt;token&gt;
Body: {content: ''}</t>
  </si>
  <si>
    <t xml:space="preserve">400 Bad Request
{"error": "Comment content is required"}</t>
  </si>
  <si>
    <t xml:space="preserve">API-ART-013</t>
  </si>
  <si>
    <t xml:space="preserve">Comment on non-existent article returns 404</t>
  </si>
  <si>
    <t xml:space="preserve">Headers: Authorization: Bearer &lt;token&gt;
Path: non-existent article ID
Body: {content: 'test'}</t>
  </si>
  <si>
    <t xml:space="preserve">API-ART-014</t>
  </si>
  <si>
    <t xml:space="preserve">Delete article endpoint exists and responds</t>
  </si>
  <si>
    <t xml:space="preserve">Headers: Authorization: Bearer &lt;token&gt;
Path: /api/articles/:id</t>
  </si>
  <si>
    <t xml:space="preserve">200 OK or 501 Not Implemented</t>
  </si>
  <si>
    <t xml:space="preserve">No response body — DELETE handler is not implemented (empty try/catch blocks)</t>
  </si>
  <si>
    <t xml:space="preserve">API-AQ-001</t>
  </si>
  <si>
    <t xml:space="preserve">Get all fish in authenticated user's aquarium</t>
  </si>
  <si>
    <t xml:space="preserve">Headers: Authorization: Bearer &lt;token&gt;</t>
  </si>
  <si>
    <t xml:space="preserve">200 OK
{aquariumFish: [array ordered by addedAt desc]}</t>
  </si>
  <si>
    <t xml:space="preserve">200 OK
Fish array returned in correct order</t>
  </si>
  <si>
    <t xml:space="preserve">API-AQ-002</t>
  </si>
  <si>
    <t xml:space="preserve">Empty aquarium returns empty array (not error)</t>
  </si>
  <si>
    <t xml:space="preserve">Headers: Authorization: Bearer &lt;token&gt; (user with no fish)</t>
  </si>
  <si>
    <t xml:space="preserve">200 OK
{"aquariumFish": []}</t>
  </si>
  <si>
    <t xml:space="preserve">Edge Case</t>
  </si>
  <si>
    <t xml:space="preserve">API-AQ-003</t>
  </si>
  <si>
    <t xml:space="preserve">Add fish with valid required fields</t>
  </si>
  <si>
    <t xml:space="preserve">Headers: Authorization: Bearer &lt;token&gt;
Body: {articleId: 'abc', speciesName: 'Guppy', careDifficulty: 'beginner'}</t>
  </si>
  <si>
    <t xml:space="preserve">201 Created
{message: "Fish added to aquarium successfully", fishId: "..."}</t>
  </si>
  <si>
    <t xml:space="preserve">201 Created
Fish visible via GET /api/my-aquarium</t>
  </si>
  <si>
    <t xml:space="preserve">API-AQ-004</t>
  </si>
  <si>
    <t xml:space="preserve">Missing required fields (articleId or speciesName) returns 400</t>
  </si>
  <si>
    <t xml:space="preserve">Headers: Authorization: Bearer &lt;token&gt;
Body: {careDifficulty: 'beginner'} (no articleId or speciesName)</t>
  </si>
  <si>
    <t xml:space="preserve">400 Bad Request
{"error": "Article ID and species name are required"}</t>
  </si>
  <si>
    <t xml:space="preserve">API-AQ-005</t>
  </si>
  <si>
    <t xml:space="preserve">Adding duplicate species returns 400</t>
  </si>
  <si>
    <t xml:space="preserve">Headers: Authorization: Bearer &lt;token&gt;
Body: {articleId: '...', speciesName: 'Guppy'} (already exists)</t>
  </si>
  <si>
    <t xml:space="preserve">400 Bad Request
{"error": "Duplicate fish", "message": "This fish species is already in your aquarium"}</t>
  </si>
  <si>
    <t xml:space="preserve">400 Bad Request — duplicate check works correctly</t>
  </si>
  <si>
    <t xml:space="preserve">API-AQ-006</t>
  </si>
  <si>
    <t xml:space="preserve">Feeding reminder with 'daily' frequency sets correct nextDate</t>
  </si>
  <si>
    <t xml:space="preserve">Body: {articleId, speciesName, reminders: {feeding: {frequency: 'daily'}}}</t>
  </si>
  <si>
    <t xml:space="preserve">201 Created
nextDate in response = tomorrow's date</t>
  </si>
  <si>
    <t xml:space="preserve">201 Created
nextDate set to +1 day from addedAt timestamp</t>
  </si>
  <si>
    <t xml:space="preserve">API-AQ-007</t>
  </si>
  <si>
    <t xml:space="preserve">Update notes for existing fish</t>
  </si>
  <si>
    <t xml:space="preserve">Headers: Authorization: Bearer &lt;token&gt;
Path: /api/my-aquarium/&lt;fishId&gt;
Body: {notes: 'Feed twice daily'}</t>
  </si>
  <si>
    <t xml:space="preserve">200 OK
{"message": "Fish updated successfully"}</t>
  </si>
  <si>
    <t xml:space="preserve">200 OK
Notes updated; updatedAt timestamp set</t>
  </si>
  <si>
    <t xml:space="preserve">API-AQ-008</t>
  </si>
  <si>
    <t xml:space="preserve">Update non-existent fishId returns 404</t>
  </si>
  <si>
    <t xml:space="preserve">Headers: Authorization: Bearer &lt;token&gt;
Path: /api/my-aquarium/fakeid
Body: {notes: 'test'}</t>
  </si>
  <si>
    <t xml:space="preserve">404 Not Found
{"error": "Fish not found in aquarium"}</t>
  </si>
  <si>
    <t xml:space="preserve">API-AQ-009</t>
  </si>
  <si>
    <t xml:space="preserve">Remove existing fish from aquarium</t>
  </si>
  <si>
    <t xml:space="preserve">Headers: Authorization: Bearer &lt;token&gt;
Path: /api/my-aquarium/&lt;valid fishId&gt;</t>
  </si>
  <si>
    <t xml:space="preserve">200 OK
{"message": "Fish removed from aquarium successfully"}</t>
  </si>
  <si>
    <t xml:space="preserve">200 OK
Fish no longer in GET /api/my-aquarium response</t>
  </si>
  <si>
    <t xml:space="preserve">API-AQ-010</t>
  </si>
  <si>
    <t xml:space="preserve">Delete non-existent fish returns 404</t>
  </si>
  <si>
    <t xml:space="preserve">Headers: Authorization: Bearer &lt;token&gt;
Path: /api/my-aquarium/fakeid</t>
  </si>
  <si>
    <t xml:space="preserve">API-CMP-001</t>
  </si>
  <si>
    <t xml:space="preserve">Compare two valid fish IDs returns comparison object</t>
  </si>
  <si>
    <t xml:space="preserve">Headers: Authorization: Bearer &lt;token&gt;
Query: ?fish1=&lt;id1&gt;&amp;fish2=&lt;id2&gt;</t>
  </si>
  <si>
    <t xml:space="preserve">200 OK
{fish1: {...}, fish2: {...}, compatibleTogether: 'Likely compatible (both peaceful)'}</t>
  </si>
  <si>
    <t xml:space="preserve">200 OK
Comparison object with both fish data and compatibility analysis</t>
  </si>
  <si>
    <t xml:space="preserve">API-CMP-002</t>
  </si>
  <si>
    <t xml:space="preserve">Missing one fish ID returns 400</t>
  </si>
  <si>
    <t xml:space="preserve">Headers: Authorization: Bearer &lt;token&gt;
Query: ?fish1=&lt;id1&gt; (no fish2)</t>
  </si>
  <si>
    <t xml:space="preserve">400 Bad Request
{"error": "Two fish IDs are required for comparison"}</t>
  </si>
  <si>
    <t xml:space="preserve">API-CMP-003</t>
  </si>
  <si>
    <t xml:space="preserve">One or both fish IDs don't exist returns 404</t>
  </si>
  <si>
    <t xml:space="preserve">Headers: Authorization: Bearer &lt;token&gt;
Query: ?fish1=realId&amp;fish2=fakeId</t>
  </si>
  <si>
    <t xml:space="preserve">404 Not Found
{"error": "One or both fish articles not found"}</t>
  </si>
  <si>
    <t xml:space="preserve">API-CMP-004</t>
  </si>
  <si>
    <t xml:space="preserve">Compare same fish ID for both params</t>
  </si>
  <si>
    <t xml:space="preserve">Headers: Authorization: Bearer &lt;token&gt;
Query: ?fish1=&lt;id&gt;&amp;fish2=&lt;id&gt; (same ID)</t>
  </si>
  <si>
    <t xml:space="preserve">200 OK with identical data for both fish; or 400 validation error</t>
  </si>
  <si>
    <t xml:space="preserve">200 OK — no server-side validation; identical data returned with no warning</t>
  </si>
  <si>
    <t xml:space="preserve">API-CMP-005</t>
  </si>
  <si>
    <t xml:space="preserve">Response includes compatibility analysis field</t>
  </si>
  <si>
    <t xml:space="preserve">Headers: Authorization: Bearer &lt;token&gt;
Valid ?fish1&amp;fish2 query</t>
  </si>
  <si>
    <t xml:space="preserve">Response has 'compatibleTogether' field with descriptive string</t>
  </si>
  <si>
    <t xml:space="preserve">compatibleTogether present; value: 'Likely compatible (both peaceful)'</t>
  </si>
  <si>
    <t xml:space="preserve">API-TTS-001</t>
  </si>
  <si>
    <t xml:space="preserve">Generate audio for valid article</t>
  </si>
  <si>
    <t xml:space="preserve">Headers: Authorization: Bearer &lt;token&gt;
Body: {articleId: '&lt;valid id&gt;'}</t>
  </si>
  <si>
    <t xml:space="preserve">200 OK
{message, audioUrl, truncated, rateLimitRemaining, title, storageType}</t>
  </si>
  <si>
    <t xml:space="preserve">200 OK
MP3 audio URL returned; article updated with audioUrl in Firestore</t>
  </si>
  <si>
    <t xml:space="preserve">API-TTS-002</t>
  </si>
  <si>
    <t xml:space="preserve">Article already has audio — returns cached URL</t>
  </si>
  <si>
    <t xml:space="preserve">Headers: Authorization: Bearer &lt;token&gt;
Body: {articleId: '&lt;id with audioUrl&gt;'}</t>
  </si>
  <si>
    <t xml:space="preserve">200 OK
{message: 'Audio already exists...', audioUrl: '&lt;existing url&gt;'}</t>
  </si>
  <si>
    <t xml:space="preserve">200 OK
Cached audioUrl returned without calling TTS API again</t>
  </si>
  <si>
    <t xml:space="preserve">API-TTS-003</t>
  </si>
  <si>
    <t xml:space="preserve">Missing articleId returns 400</t>
  </si>
  <si>
    <t xml:space="preserve">Headers: Authorization: Bearer &lt;token&gt;
Body: {} (empty)</t>
  </si>
  <si>
    <t xml:space="preserve">400 Bad Request
{"error": "Article ID is required"}</t>
  </si>
  <si>
    <t xml:space="preserve">API-TTS-004</t>
  </si>
  <si>
    <t xml:space="preserve">Article not found returns 404</t>
  </si>
  <si>
    <t xml:space="preserve">Headers: Authorization: Bearer &lt;token&gt;
Body: {articleId: 'doesnotexist'}</t>
  </si>
  <si>
    <t xml:space="preserve">API-TTS-005</t>
  </si>
  <si>
    <t xml:space="preserve">User B cannot generate audio for User A's article</t>
  </si>
  <si>
    <t xml:space="preserve">Headers: Authorization: Bearer &lt;user_B_token&gt;
Body: {articleId: '&lt;user_A article&gt;'}</t>
  </si>
  <si>
    <t xml:space="preserve">API-TTS-006</t>
  </si>
  <si>
    <t xml:space="preserve">Rate limit (6th request within 1 hour) returns 429</t>
  </si>
  <si>
    <t xml:space="preserve">6 consecutive POST requests within 1 hour with valid token and articleId</t>
  </si>
  <si>
    <t xml:space="preserve">429 Too Many Requests
{error: "Rate limit exceeded", resetIn: "60 minutes"}</t>
  </si>
  <si>
    <t xml:space="preserve">429 Too Many Requests — rate limit enforced correctly</t>
  </si>
  <si>
    <t xml:space="preserve">API-TTS-007</t>
  </si>
  <si>
    <t xml:space="preserve">Audio truncation flag when article exceeds 5000 bytes</t>
  </si>
  <si>
    <t xml:space="preserve">Headers: Authorization: Bearer &lt;token&gt;
Body: {articleId: '&lt;very long article&gt;'}</t>
  </si>
  <si>
    <t xml:space="preserve">200 OK
{truncated: true, audioUrl: '...'}</t>
  </si>
  <si>
    <t xml:space="preserve">200 OK
truncated: true returned; audio is shorter than full article</t>
  </si>
  <si>
    <t xml:space="preserve">AquaID — API Bug Reports</t>
  </si>
  <si>
    <t xml:space="preserve">Defects Identified During API Testing  |  February 2026</t>
  </si>
  <si>
    <t xml:space="preserve">Bug ID</t>
  </si>
  <si>
    <t xml:space="preserve">Bug Title</t>
  </si>
  <si>
    <t xml:space="preserve">Steps to Reproduce</t>
  </si>
  <si>
    <t xml:space="preserve">Actual Result</t>
  </si>
  <si>
    <t xml:space="preserve">Expected Result</t>
  </si>
  <si>
    <t xml:space="preserve">Severity</t>
  </si>
  <si>
    <t xml:space="preserve">Linked TC</t>
  </si>
  <si>
    <t xml:space="preserve">API-BUG-001</t>
  </si>
  <si>
    <t xml:space="preserve">Files &gt;5MB accepted without validation; server returns 500</t>
  </si>
  <si>
    <t xml:space="preserve">1. Send POST /api/identify
2. Attach image file &gt;5MB
3. Observe response</t>
  </si>
  <si>
    <t xml:space="preserve">500 Internal Server Error — multer limit triggered but not caught gracefully</t>
  </si>
  <si>
    <t xml:space="preserve">413 Payload Too Large with descriptive error: 'File size exceeds 5MB limit'</t>
  </si>
  <si>
    <t xml:space="preserve">Major</t>
  </si>
  <si>
    <t xml:space="preserve">Open</t>
  </si>
  <si>
    <t xml:space="preserve">API-BUG-002</t>
  </si>
  <si>
    <t xml:space="preserve">Non-image file types (PDF, TXT) accepted; Gemini API returns 500</t>
  </si>
  <si>
    <t xml:space="preserve">1. Send POST /api/identify
2. Attach a .pdf file as 'image'
3. Observe</t>
  </si>
  <si>
    <t xml:space="preserve">File passes multer; Gemini API call fails with 500 error back to client</t>
  </si>
  <si>
    <t xml:space="preserve">400 Bad Request: 'Only image files (jpg, png, webp) are accepted'</t>
  </si>
  <si>
    <t xml:space="preserve">API-BUG-003</t>
  </si>
  <si>
    <t xml:space="preserve">DELETE article endpoint is not implemented — empty handler</t>
  </si>
  <si>
    <t xml:space="preserve">1. Send DELETE /api/articles/&lt;valid id&gt;
2. With valid auth token
3. Observe</t>
  </si>
  <si>
    <t xml:space="preserve">No response body returned; article NOT deleted from Firestore</t>
  </si>
  <si>
    <t xml:space="preserve">200 OK with confirmation message; article removed from Firestore</t>
  </si>
  <si>
    <t xml:space="preserve">API-BUG-004</t>
  </si>
  <si>
    <t xml:space="preserve">Same fish ID for both params returns 200 with no validation warning</t>
  </si>
  <si>
    <t xml:space="preserve">1. Send GET /api/compare?fish1=&lt;id&gt;&amp;fish2=&lt;id&gt; (identical IDs)
2. Observe response</t>
  </si>
  <si>
    <t xml:space="preserve">200 OK — identical fish data returned for both slots with no warning</t>
  </si>
  <si>
    <t xml:space="preserve">400 Bad Request: 'Cannot compare a fish with itself' OR include a warning flag in response</t>
  </si>
  <si>
    <t xml:space="preserve">Minor</t>
  </si>
  <si>
    <t xml:space="preserve">API-BUG-005</t>
  </si>
  <si>
    <t xml:space="preserve">Comparison properties often return 'Not specified' for structured articles</t>
  </si>
  <si>
    <t xml:space="preserve">1. Ensure articles were generated via /api/articles/generate
2. Send compare request
3. Inspect tankSize, waterParameters, maxSize fields</t>
  </si>
  <si>
    <t xml:space="preserve">Many fields return 'Not specified' — regex extraction fails on markdown article content</t>
  </si>
  <si>
    <t xml:space="preserve">Extracted values should populate correctly from structured article content</t>
  </si>
  <si>
    <t xml:space="preserve">API-BUG-006</t>
  </si>
  <si>
    <t xml:space="preserve">No Content-Type validation — sending JSON body without articleId causes unclear 400</t>
  </si>
  <si>
    <t xml:space="preserve">1. POST /api/text-to-speech
2. Send empty JSON body {}
3. Observe error message</t>
  </si>
  <si>
    <t xml:space="preserve">400 Bad Request
{"error": "Article ID is required"} — message is correct but no field-level detail</t>
  </si>
  <si>
    <t xml:space="preserve">400 with more descriptive message specifying required fields and expected format</t>
  </si>
  <si>
    <t xml:space="preserve">Trivial</t>
  </si>
  <si>
    <t xml:space="preserve">Low</t>
  </si>
  <si>
    <t xml:space="preserve">API-BUG-007</t>
  </si>
  <si>
    <t xml:space="preserve">Rate limit counter not reset correctly across server restarts</t>
  </si>
  <si>
    <t xml:space="preserve">1. Use 5 TTS requests in one session
2. Restart server
3. Attempt TTS request</t>
  </si>
  <si>
    <t xml:space="preserve">Rate limit counter resets on restart (stored in memory Map, not persistent storage)</t>
  </si>
  <si>
    <t xml:space="preserve">Rate limit should persist across restarts; use Firestore or Redis for tracking</t>
  </si>
  <si>
    <t xml:space="preserve">API-BUG-008</t>
  </si>
  <si>
    <t xml:space="preserve">No rate limiting on article generation — potential AI API cost abuse</t>
  </si>
  <si>
    <t xml:space="preserve">1. Repeatedly POST /api/articles/generate with valid token
2. No 429 returned</t>
  </si>
  <si>
    <t xml:space="preserve">Unlimited article generation allowed; no rate limit enforced</t>
  </si>
  <si>
    <t xml:space="preserve">Rate limit (e.g., 10 articles/hour) should be applied similar to TTS endpoint</t>
  </si>
  <si>
    <t xml:space="preserve">API-BUG-009</t>
  </si>
  <si>
    <t xml:space="preserve">Authorization check missing for articles marked isPublic — logic incomplete</t>
  </si>
  <si>
    <t xml:space="preserve">1. Create article as User A (isPublic not set in schema)
2. Access as User B</t>
  </si>
  <si>
    <t xml:space="preserve">403 Forbidden — isPublic flag referenced in code but never set, so always blocks</t>
  </si>
  <si>
    <t xml:space="preserve">Public articles should be accessible without auth; isPublic field should be settable</t>
  </si>
  <si>
    <t xml:space="preserve">AquaID — API Test Summary Report</t>
  </si>
  <si>
    <t xml:space="preserve">Execution Metrics  |  Endpoint Coverage  |  Defect Analysis  |  Recommendations</t>
  </si>
  <si>
    <t xml:space="preserve">📈 OVERALL TEST EXECUTION</t>
  </si>
  <si>
    <t xml:space="preserve">Metric</t>
  </si>
  <si>
    <t xml:space="preserve">Value</t>
  </si>
  <si>
    <t xml:space="preserve">Total API Test Cases</t>
  </si>
  <si>
    <t xml:space="preserve">Passed</t>
  </si>
  <si>
    <t xml:space="preserve">Failed</t>
  </si>
  <si>
    <t xml:space="preserve">Not Tested</t>
  </si>
  <si>
    <t xml:space="preserve">Pass Rate (%)</t>
  </si>
  <si>
    <t xml:space="preserve">Total API Bugs Found</t>
  </si>
  <si>
    <t xml:space="preserve">Endpoints Tested</t>
  </si>
  <si>
    <t xml:space="preserve">14</t>
  </si>
  <si>
    <t xml:space="preserve">Endpoints Fully Passing</t>
  </si>
  <si>
    <t xml:space="preserve">🐞 BUG SEVERITY BREAKDOWN</t>
  </si>
  <si>
    <t xml:space="preserve">Count</t>
  </si>
  <si>
    <t xml:space="preserve">🔴 Critical</t>
  </si>
  <si>
    <t xml:space="preserve">🟠 Major</t>
  </si>
  <si>
    <t xml:space="preserve">🟡 Minor</t>
  </si>
  <si>
    <t xml:space="preserve">🟢 Trivial</t>
  </si>
  <si>
    <t xml:space="preserve">🗂️ RESULTS BY ENDPOINT GROUP</t>
  </si>
  <si>
    <t xml:space="preserve">Endpoint Group</t>
  </si>
  <si>
    <t xml:space="preserve">TCs</t>
  </si>
  <si>
    <t xml:space="preserve">GET  /health</t>
  </si>
  <si>
    <t xml:space="preserve">POST /api/identify</t>
  </si>
  <si>
    <t xml:space="preserve">POST/GET /api/articles/*</t>
  </si>
  <si>
    <t xml:space="preserve">GET/POST/PUT/DELETE /api/my-aquarium/*</t>
  </si>
  <si>
    <t xml:space="preserve">GET  /api/compare</t>
  </si>
  <si>
    <t xml:space="preserve">POST /api/text-to-speech</t>
  </si>
  <si>
    <t xml:space="preserve">🔍 KEY FINDINGS &amp; RECOMMENDATIONS</t>
  </si>
  <si>
    <t xml:space="preserve">Finding</t>
  </si>
  <si>
    <t xml:space="preserve">Detail</t>
  </si>
  <si>
    <t xml:space="preserve">🔴 CRITICAL — DELETE article not implemented</t>
  </si>
  <si>
    <t xml:space="preserve">API-BUG-003: The DELETE /api/articles/:articleId handler has empty try/catch blocks. Articles cannot be deleted. Immediate fix required.</t>
  </si>
  <si>
    <t xml:space="preserve">🔴 CRITICAL — No article generation rate limiting</t>
  </si>
  <si>
    <t xml:space="preserve">API-BUG-008: /api/articles/generate has no rate limiting. Repeated calls can exhaust Gemini AI quota and incur unexpected costs.</t>
  </si>
  <si>
    <t xml:space="preserve">🟠 HIGH — File type &amp; size not validated at /api/identify</t>
  </si>
  <si>
    <t xml:space="preserve">API-BUG-001 &amp; 002: Files &gt;5MB and non-image files pass client-side and multer validation, reaching the Gemini API and causing 500 errors.</t>
  </si>
  <si>
    <t xml:space="preserve">🟠 HIGH — Regex extraction failure in /api/compare</t>
  </si>
  <si>
    <t xml:space="preserve">API-BUG-005: Comparison properties (tankSize, waterParameters, maxSize) frequently return 'Not specified' because regex patterns don't match markdown-formatted article content.</t>
  </si>
  <si>
    <t xml:space="preserve">🟠 HIGH — isPublic flag logic incomplete in articles</t>
  </si>
  <si>
    <t xml:space="preserve">API-BUG-009: Code references articleData.isPublic for public access but this field is never set during article creation, making public sharing impossible.</t>
  </si>
  <si>
    <t xml:space="preserve">🟡 MEDIUM — TTS rate limit not persistent across restarts</t>
  </si>
  <si>
    <t xml:space="preserve">API-BUG-007: Rate limiting uses in-memory Map. Server restart resets counters, allowing abuse. Should use Firestore or Redis for persistence.</t>
  </si>
  <si>
    <t xml:space="preserve">🟡 MEDIUM — No duplicate fish comparison validation</t>
  </si>
  <si>
    <t xml:space="preserve">API-BUG-004: Comparing a fish with itself returns a 200 with no warning. Wastes API calls and confuses the user.</t>
  </si>
  <si>
    <t xml:space="preserve">✅ POSITIVE — Auth &amp; security passing well</t>
  </si>
  <si>
    <t xml:space="preserve">All 401/403 scenarios tested pass correctly. Firebase ID token verification works as expected. User data isolation confirmed.</t>
  </si>
  <si>
    <t xml:space="preserve">📮  POSTMAN SETUP NOTE
Base URL: http://localhost:5000
Auth: Add Authorization header with value 'Bearer {{firebase_id_token}}'
Get token: Firebase Auth → currentUser.getIdToken() in browser console</t>
  </si>
  <si>
    <t xml:space="preserve">⚠️  RELEASE RECOMMENDATION
NOT READY FOR PRODUCTION. Critical issues: DELETE article endpoint unimplemented (API-BUG-003) and no rate limiting on article generation (API-BUG-008) must be resolved first. File validation (API-BUG-001/002) and compare regex fixes (API-BUG-005) are high-priority pre-launch tasks. All security/auth tests passed — no blockers on that front.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</si>
</sst>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\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7D3C98"/>
      <name val="Arial"/>
      <family val="0"/>
      <charset val="1"/>
    </font>
    <font>
      <b val="true"/>
      <sz val="10"/>
      <color rgb="FF196F3D"/>
      <name val="Arial"/>
      <family val="0"/>
      <charset val="1"/>
    </font>
    <font>
      <i val="true"/>
      <sz val="10"/>
      <color rgb="FF5D403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A3C5E"/>
      <name val="Arial"/>
      <family val="0"/>
      <charset val="1"/>
    </font>
    <font>
      <b val="true"/>
      <sz val="10"/>
      <color rgb="FF7B341E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3C5E"/>
        <bgColor rgb="FF1A5276"/>
      </patternFill>
    </fill>
    <fill>
      <patternFill patternType="solid">
        <fgColor rgb="FF0D7377"/>
        <bgColor rgb="FF196F3D"/>
      </patternFill>
    </fill>
    <fill>
      <patternFill patternType="solid">
        <fgColor rgb="FF095255"/>
        <bgColor rgb="FF1A5276"/>
      </patternFill>
    </fill>
    <fill>
      <patternFill patternType="solid">
        <fgColor rgb="FFD6EAF8"/>
        <bgColor rgb="FFD5F5E3"/>
      </patternFill>
    </fill>
    <fill>
      <patternFill patternType="solid">
        <fgColor rgb="FFF2F4F7"/>
        <bgColor rgb="FFF2F3F4"/>
      </patternFill>
    </fill>
    <fill>
      <patternFill patternType="solid">
        <fgColor rgb="FFFDE8D8"/>
        <bgColor rgb="FFFDEDEC"/>
      </patternFill>
    </fill>
    <fill>
      <patternFill patternType="solid">
        <fgColor rgb="FFFFFFFF"/>
        <bgColor rgb="FFFEF9E7"/>
      </patternFill>
    </fill>
    <fill>
      <patternFill patternType="solid">
        <fgColor rgb="FFF8E8F8"/>
        <bgColor rgb="FFFDEDEC"/>
      </patternFill>
    </fill>
    <fill>
      <patternFill patternType="solid">
        <fgColor rgb="FFE8F8E8"/>
        <bgColor rgb="FFE6F7F8"/>
      </patternFill>
    </fill>
    <fill>
      <patternFill patternType="solid">
        <fgColor rgb="FFFFF8E1"/>
        <bgColor rgb="FFFEF9E7"/>
      </patternFill>
    </fill>
    <fill>
      <patternFill patternType="solid">
        <fgColor rgb="FFFEF9E7"/>
        <bgColor rgb="FFFFF8E1"/>
      </patternFill>
    </fill>
    <fill>
      <patternFill patternType="solid">
        <fgColor rgb="FFD5F5E3"/>
        <bgColor rgb="FFE8F8E8"/>
      </patternFill>
    </fill>
    <fill>
      <patternFill patternType="solid">
        <fgColor rgb="FFFDEDEC"/>
        <bgColor rgb="FFF8E8F8"/>
      </patternFill>
    </fill>
    <fill>
      <patternFill patternType="solid">
        <fgColor rgb="FFEBF5FB"/>
        <bgColor rgb="FFE6F7F8"/>
      </patternFill>
    </fill>
    <fill>
      <patternFill patternType="solid">
        <fgColor rgb="FFE6F7F8"/>
        <bgColor rgb="FFEBF5FB"/>
      </patternFill>
    </fill>
    <fill>
      <patternFill patternType="solid">
        <fgColor rgb="FFF2F3F4"/>
        <bgColor rgb="FFF2F4F7"/>
      </patternFill>
    </fill>
    <fill>
      <patternFill patternType="solid">
        <fgColor rgb="FFFFF3E0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196F3D"/>
      <rgbColor rgb="FF000080"/>
      <rgbColor rgb="FF808000"/>
      <rgbColor rgb="FF800080"/>
      <rgbColor rgb="FF0D7377"/>
      <rgbColor rgb="FFF8E8F8"/>
      <rgbColor rgb="FF808080"/>
      <rgbColor rgb="FFF2F4F7"/>
      <rgbColor rgb="FF7D3C98"/>
      <rgbColor rgb="FFFFF8E1"/>
      <rgbColor rgb="FFE6F7F8"/>
      <rgbColor rgb="FF660066"/>
      <rgbColor rgb="FFFF8080"/>
      <rgbColor rgb="FF0066CC"/>
      <rgbColor rgb="FFD0D5DD"/>
      <rgbColor rgb="FF000080"/>
      <rgbColor rgb="FFFF00FF"/>
      <rgbColor rgb="FFE8F8E8"/>
      <rgbColor rgb="FF00FFFF"/>
      <rgbColor rgb="FF800080"/>
      <rgbColor rgb="FF800000"/>
      <rgbColor rgb="FF2980B9"/>
      <rgbColor rgb="FF0000FF"/>
      <rgbColor rgb="FF00CCFF"/>
      <rgbColor rgb="FFD6EAF8"/>
      <rgbColor rgb="FFD5F5E3"/>
      <rgbColor rgb="FFFFF3E0"/>
      <rgbColor rgb="FFEBF5FB"/>
      <rgbColor rgb="FFFDEDEC"/>
      <rgbColor rgb="FFF2F3F4"/>
      <rgbColor rgb="FFFDE8D8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A3C5E"/>
      <rgbColor rgb="FF1E8449"/>
      <rgbColor rgb="FF095255"/>
      <rgbColor rgb="FF333300"/>
      <rgbColor rgb="FF7B341E"/>
      <rgbColor rgb="FFC0392B"/>
      <rgbColor rgb="FF1A5276"/>
      <rgbColor rgb="FF5D40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8" min="6" style="0" width="18"/>
    <col collapsed="false" customWidth="true" hidden="false" outlineLevel="0" max="9" min="9" style="0" width="24"/>
  </cols>
  <sheetData>
    <row r="2" customFormat="false" ht="49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24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6" customFormat="false" ht="24" hidden="false" customHeight="true" outlineLevel="0" collapsed="false">
      <c r="B6" s="3" t="s">
        <v>2</v>
      </c>
      <c r="C6" s="3"/>
      <c r="D6" s="3"/>
      <c r="E6" s="3"/>
      <c r="F6" s="3"/>
      <c r="G6" s="3"/>
      <c r="H6" s="3"/>
      <c r="I6" s="3"/>
      <c r="J6" s="3"/>
    </row>
    <row r="7" customFormat="false" ht="21.75" hidden="false" customHeight="true" outlineLevel="0" collapsed="false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</row>
    <row r="8" customFormat="false" ht="33.75" hidden="false" customHeight="true" outlineLevel="0" collapsed="false"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14</v>
      </c>
    </row>
    <row r="9" customFormat="false" ht="33.75" hidden="false" customHeight="true" outlineLevel="0" collapsed="false">
      <c r="B9" s="7" t="s">
        <v>16</v>
      </c>
      <c r="C9" s="8" t="s">
        <v>17</v>
      </c>
      <c r="D9" s="8" t="s">
        <v>12</v>
      </c>
      <c r="E9" s="8" t="s">
        <v>18</v>
      </c>
      <c r="F9" s="8" t="s">
        <v>19</v>
      </c>
      <c r="G9" s="8" t="s">
        <v>15</v>
      </c>
      <c r="H9" s="8" t="s">
        <v>20</v>
      </c>
    </row>
    <row r="10" customFormat="false" ht="33.75" hidden="false" customHeight="true" outlineLevel="0" collapsed="false">
      <c r="B10" s="7" t="s">
        <v>16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15</v>
      </c>
      <c r="H10" s="6" t="s">
        <v>20</v>
      </c>
    </row>
    <row r="11" customFormat="false" ht="33.75" hidden="false" customHeight="true" outlineLevel="0" collapsed="false">
      <c r="B11" s="5" t="s">
        <v>10</v>
      </c>
      <c r="C11" s="8" t="s">
        <v>25</v>
      </c>
      <c r="D11" s="8" t="s">
        <v>22</v>
      </c>
      <c r="E11" s="8" t="s">
        <v>26</v>
      </c>
      <c r="F11" s="8" t="s">
        <v>14</v>
      </c>
      <c r="G11" s="8" t="s">
        <v>15</v>
      </c>
      <c r="H11" s="8" t="s">
        <v>27</v>
      </c>
    </row>
    <row r="12" customFormat="false" ht="33.75" hidden="false" customHeight="true" outlineLevel="0" collapsed="false">
      <c r="B12" s="5" t="s">
        <v>10</v>
      </c>
      <c r="C12" s="6" t="s">
        <v>28</v>
      </c>
      <c r="D12" s="6" t="s">
        <v>22</v>
      </c>
      <c r="E12" s="6" t="s">
        <v>29</v>
      </c>
      <c r="F12" s="6" t="s">
        <v>30</v>
      </c>
      <c r="G12" s="6" t="s">
        <v>15</v>
      </c>
      <c r="H12" s="6" t="s">
        <v>31</v>
      </c>
    </row>
    <row r="13" customFormat="false" ht="33.75" hidden="false" customHeight="true" outlineLevel="0" collapsed="false">
      <c r="B13" s="5" t="s">
        <v>10</v>
      </c>
      <c r="C13" s="8" t="s">
        <v>32</v>
      </c>
      <c r="D13" s="8" t="s">
        <v>22</v>
      </c>
      <c r="E13" s="8" t="s">
        <v>33</v>
      </c>
      <c r="F13" s="8" t="s">
        <v>30</v>
      </c>
      <c r="G13" s="8" t="s">
        <v>15</v>
      </c>
      <c r="H13" s="8" t="s">
        <v>34</v>
      </c>
    </row>
    <row r="14" customFormat="false" ht="33.75" hidden="false" customHeight="true" outlineLevel="0" collapsed="false">
      <c r="B14" s="7" t="s">
        <v>16</v>
      </c>
      <c r="C14" s="6" t="s">
        <v>32</v>
      </c>
      <c r="D14" s="6" t="s">
        <v>22</v>
      </c>
      <c r="E14" s="6" t="s">
        <v>35</v>
      </c>
      <c r="F14" s="6" t="s">
        <v>36</v>
      </c>
      <c r="G14" s="6" t="s">
        <v>37</v>
      </c>
      <c r="H14" s="6" t="s">
        <v>38</v>
      </c>
    </row>
    <row r="15" customFormat="false" ht="33.75" hidden="false" customHeight="true" outlineLevel="0" collapsed="false">
      <c r="B15" s="9" t="s">
        <v>39</v>
      </c>
      <c r="C15" s="8" t="s">
        <v>28</v>
      </c>
      <c r="D15" s="8" t="s">
        <v>22</v>
      </c>
      <c r="E15" s="8" t="s">
        <v>40</v>
      </c>
      <c r="F15" s="8" t="s">
        <v>30</v>
      </c>
      <c r="G15" s="8" t="s">
        <v>15</v>
      </c>
      <c r="H15" s="8" t="s">
        <v>31</v>
      </c>
    </row>
    <row r="16" customFormat="false" ht="33.75" hidden="false" customHeight="true" outlineLevel="0" collapsed="false">
      <c r="B16" s="5" t="s">
        <v>10</v>
      </c>
      <c r="C16" s="6" t="s">
        <v>41</v>
      </c>
      <c r="D16" s="6" t="s">
        <v>22</v>
      </c>
      <c r="E16" s="6" t="s">
        <v>42</v>
      </c>
      <c r="F16" s="6" t="s">
        <v>14</v>
      </c>
      <c r="G16" s="6" t="s">
        <v>15</v>
      </c>
      <c r="H16" s="6" t="s">
        <v>27</v>
      </c>
    </row>
    <row r="17" customFormat="false" ht="33.75" hidden="false" customHeight="true" outlineLevel="0" collapsed="false">
      <c r="B17" s="7" t="s">
        <v>16</v>
      </c>
      <c r="C17" s="8" t="s">
        <v>43</v>
      </c>
      <c r="D17" s="8" t="s">
        <v>22</v>
      </c>
      <c r="E17" s="8" t="s">
        <v>44</v>
      </c>
      <c r="F17" s="8" t="s">
        <v>45</v>
      </c>
      <c r="G17" s="8" t="s">
        <v>37</v>
      </c>
      <c r="H17" s="8" t="s">
        <v>46</v>
      </c>
    </row>
    <row r="18" customFormat="false" ht="33.75" hidden="false" customHeight="true" outlineLevel="0" collapsed="false">
      <c r="B18" s="10" t="s">
        <v>47</v>
      </c>
      <c r="C18" s="6" t="s">
        <v>48</v>
      </c>
      <c r="D18" s="6" t="s">
        <v>22</v>
      </c>
      <c r="E18" s="6" t="s">
        <v>49</v>
      </c>
      <c r="F18" s="6" t="s">
        <v>50</v>
      </c>
      <c r="G18" s="6" t="s">
        <v>15</v>
      </c>
      <c r="H18" s="6" t="s">
        <v>51</v>
      </c>
    </row>
    <row r="19" customFormat="false" ht="33.75" hidden="false" customHeight="true" outlineLevel="0" collapsed="false">
      <c r="B19" s="9" t="s">
        <v>39</v>
      </c>
      <c r="C19" s="8" t="s">
        <v>48</v>
      </c>
      <c r="D19" s="8" t="s">
        <v>22</v>
      </c>
      <c r="E19" s="8" t="s">
        <v>52</v>
      </c>
      <c r="F19" s="8" t="s">
        <v>53</v>
      </c>
      <c r="G19" s="8" t="s">
        <v>15</v>
      </c>
      <c r="H19" s="8" t="s">
        <v>51</v>
      </c>
    </row>
    <row r="20" customFormat="false" ht="33.75" hidden="false" customHeight="true" outlineLevel="0" collapsed="false">
      <c r="B20" s="5" t="s">
        <v>10</v>
      </c>
      <c r="C20" s="6" t="s">
        <v>54</v>
      </c>
      <c r="D20" s="6" t="s">
        <v>22</v>
      </c>
      <c r="E20" s="6" t="s">
        <v>55</v>
      </c>
      <c r="F20" s="6" t="s">
        <v>56</v>
      </c>
      <c r="G20" s="6" t="s">
        <v>15</v>
      </c>
      <c r="H20" s="6" t="s">
        <v>57</v>
      </c>
    </row>
    <row r="21" customFormat="false" ht="33.75" hidden="false" customHeight="true" outlineLevel="0" collapsed="false">
      <c r="B21" s="7" t="s">
        <v>16</v>
      </c>
      <c r="C21" s="8" t="s">
        <v>58</v>
      </c>
      <c r="D21" s="8" t="s">
        <v>22</v>
      </c>
      <c r="E21" s="8" t="s">
        <v>59</v>
      </c>
      <c r="F21" s="8" t="s">
        <v>60</v>
      </c>
      <c r="G21" s="8" t="s">
        <v>15</v>
      </c>
      <c r="H21" s="8" t="s">
        <v>61</v>
      </c>
    </row>
    <row r="23" customFormat="false" ht="36" hidden="false" customHeight="true" outlineLevel="0" collapsed="false">
      <c r="B23" s="11" t="s">
        <v>62</v>
      </c>
      <c r="C23" s="11"/>
      <c r="D23" s="11"/>
      <c r="E23" s="11"/>
      <c r="F23" s="11"/>
      <c r="G23" s="11"/>
      <c r="H23" s="11"/>
      <c r="I23" s="11"/>
      <c r="J23" s="11"/>
    </row>
  </sheetData>
  <mergeCells count="4">
    <mergeCell ref="B2:K2"/>
    <mergeCell ref="B3:K3"/>
    <mergeCell ref="B6:J6"/>
    <mergeCell ref="B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10" min="9" style="0" width="12"/>
    <col collapsed="false" customWidth="true" hidden="false" outlineLevel="0" max="11" min="11" style="0" width="14"/>
  </cols>
  <sheetData>
    <row r="2" customFormat="false" ht="49.5" hidden="false" customHeight="true" outlineLevel="0" collapsed="false">
      <c r="B2" s="1" t="s">
        <v>63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24" hidden="false" customHeight="true" outlineLevel="0" collapsed="false">
      <c r="B3" s="2" t="s">
        <v>64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21.75" hidden="false" customHeight="true" outlineLevel="0" collapsed="false">
      <c r="B4" s="4" t="s">
        <v>65</v>
      </c>
      <c r="C4" s="4" t="s">
        <v>3</v>
      </c>
      <c r="D4" s="4" t="s">
        <v>4</v>
      </c>
      <c r="E4" s="4" t="s">
        <v>6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64.5" hidden="false" customHeight="true" outlineLevel="0" collapsed="false">
      <c r="B5" s="12" t="s">
        <v>72</v>
      </c>
      <c r="C5" s="5" t="s">
        <v>10</v>
      </c>
      <c r="D5" s="8" t="s">
        <v>11</v>
      </c>
      <c r="E5" s="8" t="s">
        <v>73</v>
      </c>
      <c r="F5" s="8" t="s">
        <v>74</v>
      </c>
      <c r="G5" s="8" t="s">
        <v>75</v>
      </c>
      <c r="H5" s="8" t="s">
        <v>75</v>
      </c>
      <c r="I5" s="13" t="s">
        <v>76</v>
      </c>
      <c r="J5" s="14" t="s">
        <v>77</v>
      </c>
      <c r="K5" s="15" t="s">
        <v>78</v>
      </c>
    </row>
    <row r="6" customFormat="false" ht="64.5" hidden="false" customHeight="true" outlineLevel="0" collapsed="false">
      <c r="B6" s="16" t="s">
        <v>79</v>
      </c>
      <c r="C6" s="7" t="s">
        <v>16</v>
      </c>
      <c r="D6" s="6" t="s">
        <v>17</v>
      </c>
      <c r="E6" s="6" t="s">
        <v>80</v>
      </c>
      <c r="F6" s="6" t="s">
        <v>81</v>
      </c>
      <c r="G6" s="6" t="s">
        <v>82</v>
      </c>
      <c r="H6" s="6" t="s">
        <v>83</v>
      </c>
      <c r="I6" s="17" t="s">
        <v>84</v>
      </c>
      <c r="J6" s="18" t="s">
        <v>77</v>
      </c>
      <c r="K6" s="15" t="s">
        <v>78</v>
      </c>
    </row>
    <row r="7" customFormat="false" ht="64.5" hidden="false" customHeight="true" outlineLevel="0" collapsed="false">
      <c r="B7" s="12" t="s">
        <v>85</v>
      </c>
      <c r="C7" s="7" t="s">
        <v>16</v>
      </c>
      <c r="D7" s="8" t="s">
        <v>17</v>
      </c>
      <c r="E7" s="8" t="s">
        <v>86</v>
      </c>
      <c r="F7" s="8" t="s">
        <v>87</v>
      </c>
      <c r="G7" s="8" t="s">
        <v>88</v>
      </c>
      <c r="H7" s="8" t="s">
        <v>88</v>
      </c>
      <c r="I7" s="13" t="s">
        <v>76</v>
      </c>
      <c r="J7" s="14" t="s">
        <v>89</v>
      </c>
      <c r="K7" s="15" t="s">
        <v>78</v>
      </c>
    </row>
    <row r="8" customFormat="false" ht="64.5" hidden="false" customHeight="true" outlineLevel="0" collapsed="false">
      <c r="B8" s="16" t="s">
        <v>90</v>
      </c>
      <c r="C8" s="7" t="s">
        <v>16</v>
      </c>
      <c r="D8" s="6" t="s">
        <v>17</v>
      </c>
      <c r="E8" s="6" t="s">
        <v>91</v>
      </c>
      <c r="F8" s="6" t="s">
        <v>92</v>
      </c>
      <c r="G8" s="6" t="s">
        <v>93</v>
      </c>
      <c r="H8" s="6" t="s">
        <v>94</v>
      </c>
      <c r="I8" s="13" t="s">
        <v>76</v>
      </c>
      <c r="J8" s="18" t="s">
        <v>89</v>
      </c>
      <c r="K8" s="15" t="s">
        <v>78</v>
      </c>
    </row>
    <row r="9" customFormat="false" ht="64.5" hidden="false" customHeight="true" outlineLevel="0" collapsed="false">
      <c r="B9" s="12" t="s">
        <v>95</v>
      </c>
      <c r="C9" s="7" t="s">
        <v>16</v>
      </c>
      <c r="D9" s="8" t="s">
        <v>17</v>
      </c>
      <c r="E9" s="8" t="s">
        <v>96</v>
      </c>
      <c r="F9" s="8" t="s">
        <v>97</v>
      </c>
      <c r="G9" s="8" t="s">
        <v>98</v>
      </c>
      <c r="H9" s="8" t="s">
        <v>99</v>
      </c>
      <c r="I9" s="13" t="s">
        <v>76</v>
      </c>
      <c r="J9" s="14" t="s">
        <v>100</v>
      </c>
      <c r="K9" s="15" t="s">
        <v>78</v>
      </c>
    </row>
    <row r="10" customFormat="false" ht="64.5" hidden="false" customHeight="true" outlineLevel="0" collapsed="false">
      <c r="B10" s="16" t="s">
        <v>101</v>
      </c>
      <c r="C10" s="7" t="s">
        <v>16</v>
      </c>
      <c r="D10" s="6" t="s">
        <v>17</v>
      </c>
      <c r="E10" s="6" t="s">
        <v>102</v>
      </c>
      <c r="F10" s="6" t="s">
        <v>103</v>
      </c>
      <c r="G10" s="6" t="s">
        <v>104</v>
      </c>
      <c r="H10" s="6" t="s">
        <v>105</v>
      </c>
      <c r="I10" s="13" t="s">
        <v>76</v>
      </c>
      <c r="J10" s="18" t="s">
        <v>89</v>
      </c>
      <c r="K10" s="17" t="s">
        <v>106</v>
      </c>
    </row>
    <row r="11" customFormat="false" ht="64.5" hidden="false" customHeight="true" outlineLevel="0" collapsed="false">
      <c r="B11" s="12" t="s">
        <v>107</v>
      </c>
      <c r="C11" s="7" t="s">
        <v>16</v>
      </c>
      <c r="D11" s="8" t="s">
        <v>17</v>
      </c>
      <c r="E11" s="8" t="s">
        <v>108</v>
      </c>
      <c r="F11" s="8" t="s">
        <v>109</v>
      </c>
      <c r="G11" s="8" t="s">
        <v>110</v>
      </c>
      <c r="H11" s="8" t="s">
        <v>111</v>
      </c>
      <c r="I11" s="13" t="s">
        <v>76</v>
      </c>
      <c r="J11" s="14" t="s">
        <v>89</v>
      </c>
      <c r="K11" s="17" t="s">
        <v>106</v>
      </c>
    </row>
    <row r="12" customFormat="false" ht="64.5" hidden="false" customHeight="true" outlineLevel="0" collapsed="false">
      <c r="B12" s="16" t="s">
        <v>112</v>
      </c>
      <c r="C12" s="7" t="s">
        <v>16</v>
      </c>
      <c r="D12" s="6" t="s">
        <v>21</v>
      </c>
      <c r="E12" s="6" t="s">
        <v>113</v>
      </c>
      <c r="F12" s="6" t="s">
        <v>114</v>
      </c>
      <c r="G12" s="6" t="s">
        <v>115</v>
      </c>
      <c r="H12" s="6" t="s">
        <v>116</v>
      </c>
      <c r="I12" s="17" t="s">
        <v>84</v>
      </c>
      <c r="J12" s="18" t="s">
        <v>77</v>
      </c>
      <c r="K12" s="15" t="s">
        <v>78</v>
      </c>
    </row>
    <row r="13" customFormat="false" ht="64.5" hidden="false" customHeight="true" outlineLevel="0" collapsed="false">
      <c r="B13" s="12" t="s">
        <v>117</v>
      </c>
      <c r="C13" s="7" t="s">
        <v>16</v>
      </c>
      <c r="D13" s="8" t="s">
        <v>21</v>
      </c>
      <c r="E13" s="8" t="s">
        <v>118</v>
      </c>
      <c r="F13" s="8" t="s">
        <v>119</v>
      </c>
      <c r="G13" s="8" t="s">
        <v>120</v>
      </c>
      <c r="H13" s="8" t="s">
        <v>120</v>
      </c>
      <c r="I13" s="13" t="s">
        <v>76</v>
      </c>
      <c r="J13" s="14" t="s">
        <v>89</v>
      </c>
      <c r="K13" s="15" t="s">
        <v>78</v>
      </c>
    </row>
    <row r="14" customFormat="false" ht="64.5" hidden="false" customHeight="true" outlineLevel="0" collapsed="false">
      <c r="B14" s="16" t="s">
        <v>121</v>
      </c>
      <c r="C14" s="7" t="s">
        <v>16</v>
      </c>
      <c r="D14" s="6" t="s">
        <v>21</v>
      </c>
      <c r="E14" s="6" t="s">
        <v>122</v>
      </c>
      <c r="F14" s="6" t="s">
        <v>123</v>
      </c>
      <c r="G14" s="6" t="s">
        <v>124</v>
      </c>
      <c r="H14" s="6" t="s">
        <v>124</v>
      </c>
      <c r="I14" s="13" t="s">
        <v>76</v>
      </c>
      <c r="J14" s="18" t="s">
        <v>125</v>
      </c>
      <c r="K14" s="15" t="s">
        <v>78</v>
      </c>
    </row>
    <row r="15" customFormat="false" ht="64.5" hidden="false" customHeight="true" outlineLevel="0" collapsed="false">
      <c r="B15" s="12" t="s">
        <v>126</v>
      </c>
      <c r="C15" s="7" t="s">
        <v>16</v>
      </c>
      <c r="D15" s="8" t="s">
        <v>21</v>
      </c>
      <c r="E15" s="8" t="s">
        <v>127</v>
      </c>
      <c r="F15" s="8" t="s">
        <v>128</v>
      </c>
      <c r="G15" s="8" t="s">
        <v>129</v>
      </c>
      <c r="H15" s="8" t="s">
        <v>129</v>
      </c>
      <c r="I15" s="13" t="s">
        <v>76</v>
      </c>
      <c r="J15" s="14" t="s">
        <v>125</v>
      </c>
      <c r="K15" s="15" t="s">
        <v>78</v>
      </c>
    </row>
    <row r="16" customFormat="false" ht="64.5" hidden="false" customHeight="true" outlineLevel="0" collapsed="false">
      <c r="B16" s="16" t="s">
        <v>130</v>
      </c>
      <c r="C16" s="5" t="s">
        <v>10</v>
      </c>
      <c r="D16" s="6" t="s">
        <v>25</v>
      </c>
      <c r="E16" s="6" t="s">
        <v>131</v>
      </c>
      <c r="F16" s="6" t="s">
        <v>132</v>
      </c>
      <c r="G16" s="6" t="s">
        <v>133</v>
      </c>
      <c r="H16" s="6" t="s">
        <v>134</v>
      </c>
      <c r="I16" s="13" t="s">
        <v>76</v>
      </c>
      <c r="J16" s="18" t="s">
        <v>77</v>
      </c>
      <c r="K16" s="15" t="s">
        <v>78</v>
      </c>
    </row>
    <row r="17" customFormat="false" ht="64.5" hidden="false" customHeight="true" outlineLevel="0" collapsed="false">
      <c r="B17" s="12" t="s">
        <v>135</v>
      </c>
      <c r="C17" s="5" t="s">
        <v>10</v>
      </c>
      <c r="D17" s="8" t="s">
        <v>25</v>
      </c>
      <c r="E17" s="8" t="s">
        <v>136</v>
      </c>
      <c r="F17" s="8" t="s">
        <v>137</v>
      </c>
      <c r="G17" s="8" t="s">
        <v>138</v>
      </c>
      <c r="H17" s="8" t="s">
        <v>139</v>
      </c>
      <c r="I17" s="17" t="s">
        <v>84</v>
      </c>
      <c r="J17" s="14" t="s">
        <v>125</v>
      </c>
      <c r="K17" s="15" t="s">
        <v>78</v>
      </c>
    </row>
    <row r="18" customFormat="false" ht="64.5" hidden="false" customHeight="true" outlineLevel="0" collapsed="false">
      <c r="B18" s="16" t="s">
        <v>140</v>
      </c>
      <c r="C18" s="5" t="s">
        <v>10</v>
      </c>
      <c r="D18" s="6" t="s">
        <v>28</v>
      </c>
      <c r="E18" s="6" t="s">
        <v>141</v>
      </c>
      <c r="F18" s="6" t="s">
        <v>142</v>
      </c>
      <c r="G18" s="6" t="s">
        <v>143</v>
      </c>
      <c r="H18" s="6" t="s">
        <v>144</v>
      </c>
      <c r="I18" s="13" t="s">
        <v>76</v>
      </c>
      <c r="J18" s="18" t="s">
        <v>77</v>
      </c>
      <c r="K18" s="15" t="s">
        <v>78</v>
      </c>
    </row>
    <row r="19" customFormat="false" ht="64.5" hidden="false" customHeight="true" outlineLevel="0" collapsed="false">
      <c r="B19" s="12" t="s">
        <v>145</v>
      </c>
      <c r="C19" s="5" t="s">
        <v>10</v>
      </c>
      <c r="D19" s="8" t="s">
        <v>28</v>
      </c>
      <c r="E19" s="8" t="s">
        <v>146</v>
      </c>
      <c r="F19" s="8" t="s">
        <v>147</v>
      </c>
      <c r="G19" s="8" t="s">
        <v>148</v>
      </c>
      <c r="H19" s="8" t="s">
        <v>148</v>
      </c>
      <c r="I19" s="13" t="s">
        <v>76</v>
      </c>
      <c r="J19" s="14" t="s">
        <v>89</v>
      </c>
      <c r="K19" s="15" t="s">
        <v>78</v>
      </c>
    </row>
    <row r="20" customFormat="false" ht="64.5" hidden="false" customHeight="true" outlineLevel="0" collapsed="false">
      <c r="B20" s="16" t="s">
        <v>149</v>
      </c>
      <c r="C20" s="5" t="s">
        <v>10</v>
      </c>
      <c r="D20" s="6" t="s">
        <v>28</v>
      </c>
      <c r="E20" s="6" t="s">
        <v>150</v>
      </c>
      <c r="F20" s="6" t="s">
        <v>151</v>
      </c>
      <c r="G20" s="6" t="s">
        <v>152</v>
      </c>
      <c r="H20" s="6" t="s">
        <v>152</v>
      </c>
      <c r="I20" s="17" t="s">
        <v>84</v>
      </c>
      <c r="J20" s="18" t="s">
        <v>125</v>
      </c>
      <c r="K20" s="15" t="s">
        <v>78</v>
      </c>
    </row>
    <row r="21" customFormat="false" ht="64.5" hidden="false" customHeight="true" outlineLevel="0" collapsed="false">
      <c r="B21" s="12" t="s">
        <v>153</v>
      </c>
      <c r="C21" s="5" t="s">
        <v>10</v>
      </c>
      <c r="D21" s="8" t="s">
        <v>32</v>
      </c>
      <c r="E21" s="8" t="s">
        <v>154</v>
      </c>
      <c r="F21" s="8" t="s">
        <v>155</v>
      </c>
      <c r="G21" s="8" t="s">
        <v>156</v>
      </c>
      <c r="H21" s="8" t="s">
        <v>157</v>
      </c>
      <c r="I21" s="15" t="s">
        <v>158</v>
      </c>
      <c r="J21" s="14" t="s">
        <v>77</v>
      </c>
      <c r="K21" s="15" t="s">
        <v>78</v>
      </c>
    </row>
    <row r="22" customFormat="false" ht="64.5" hidden="false" customHeight="true" outlineLevel="0" collapsed="false">
      <c r="B22" s="16" t="s">
        <v>159</v>
      </c>
      <c r="C22" s="7" t="s">
        <v>16</v>
      </c>
      <c r="D22" s="6" t="s">
        <v>32</v>
      </c>
      <c r="E22" s="6" t="s">
        <v>160</v>
      </c>
      <c r="F22" s="6" t="s">
        <v>161</v>
      </c>
      <c r="G22" s="6" t="s">
        <v>162</v>
      </c>
      <c r="H22" s="6" t="s">
        <v>163</v>
      </c>
      <c r="I22" s="13" t="s">
        <v>76</v>
      </c>
      <c r="J22" s="18" t="s">
        <v>77</v>
      </c>
      <c r="K22" s="15" t="s">
        <v>78</v>
      </c>
    </row>
    <row r="23" customFormat="false" ht="64.5" hidden="false" customHeight="true" outlineLevel="0" collapsed="false">
      <c r="B23" s="12" t="s">
        <v>164</v>
      </c>
      <c r="C23" s="7" t="s">
        <v>16</v>
      </c>
      <c r="D23" s="8" t="s">
        <v>32</v>
      </c>
      <c r="E23" s="8" t="s">
        <v>165</v>
      </c>
      <c r="F23" s="8" t="s">
        <v>166</v>
      </c>
      <c r="G23" s="8" t="s">
        <v>167</v>
      </c>
      <c r="H23" s="8" t="s">
        <v>167</v>
      </c>
      <c r="I23" s="15" t="s">
        <v>158</v>
      </c>
      <c r="J23" s="14" t="s">
        <v>89</v>
      </c>
      <c r="K23" s="15" t="s">
        <v>78</v>
      </c>
    </row>
    <row r="24" customFormat="false" ht="64.5" hidden="false" customHeight="true" outlineLevel="0" collapsed="false">
      <c r="B24" s="16" t="s">
        <v>168</v>
      </c>
      <c r="C24" s="7" t="s">
        <v>16</v>
      </c>
      <c r="D24" s="6" t="s">
        <v>32</v>
      </c>
      <c r="E24" s="6" t="s">
        <v>169</v>
      </c>
      <c r="F24" s="6" t="s">
        <v>170</v>
      </c>
      <c r="G24" s="6" t="s">
        <v>148</v>
      </c>
      <c r="H24" s="6" t="s">
        <v>148</v>
      </c>
      <c r="I24" s="15" t="s">
        <v>158</v>
      </c>
      <c r="J24" s="18" t="s">
        <v>89</v>
      </c>
      <c r="K24" s="15" t="s">
        <v>78</v>
      </c>
    </row>
    <row r="25" customFormat="false" ht="64.5" hidden="false" customHeight="true" outlineLevel="0" collapsed="false">
      <c r="B25" s="12" t="s">
        <v>171</v>
      </c>
      <c r="C25" s="9" t="s">
        <v>39</v>
      </c>
      <c r="D25" s="8" t="s">
        <v>28</v>
      </c>
      <c r="E25" s="8" t="s">
        <v>172</v>
      </c>
      <c r="F25" s="8" t="s">
        <v>173</v>
      </c>
      <c r="G25" s="8" t="s">
        <v>174</v>
      </c>
      <c r="H25" s="8" t="s">
        <v>175</v>
      </c>
      <c r="I25" s="13" t="s">
        <v>76</v>
      </c>
      <c r="J25" s="14" t="s">
        <v>89</v>
      </c>
      <c r="K25" s="17" t="s">
        <v>106</v>
      </c>
    </row>
    <row r="26" customFormat="false" ht="64.5" hidden="false" customHeight="true" outlineLevel="0" collapsed="false">
      <c r="B26" s="16" t="s">
        <v>176</v>
      </c>
      <c r="C26" s="5" t="s">
        <v>10</v>
      </c>
      <c r="D26" s="6" t="s">
        <v>41</v>
      </c>
      <c r="E26" s="6" t="s">
        <v>177</v>
      </c>
      <c r="F26" s="6" t="s">
        <v>178</v>
      </c>
      <c r="G26" s="6" t="s">
        <v>179</v>
      </c>
      <c r="H26" s="6" t="s">
        <v>180</v>
      </c>
      <c r="I26" s="13" t="s">
        <v>76</v>
      </c>
      <c r="J26" s="18" t="s">
        <v>77</v>
      </c>
      <c r="K26" s="15" t="s">
        <v>78</v>
      </c>
    </row>
    <row r="27" customFormat="false" ht="64.5" hidden="false" customHeight="true" outlineLevel="0" collapsed="false">
      <c r="B27" s="12" t="s">
        <v>181</v>
      </c>
      <c r="C27" s="5" t="s">
        <v>10</v>
      </c>
      <c r="D27" s="8" t="s">
        <v>41</v>
      </c>
      <c r="E27" s="8" t="s">
        <v>182</v>
      </c>
      <c r="F27" s="8" t="s">
        <v>183</v>
      </c>
      <c r="G27" s="8" t="s">
        <v>184</v>
      </c>
      <c r="H27" s="8" t="s">
        <v>184</v>
      </c>
      <c r="I27" s="15" t="s">
        <v>158</v>
      </c>
      <c r="J27" s="14" t="s">
        <v>185</v>
      </c>
      <c r="K27" s="15" t="s">
        <v>78</v>
      </c>
    </row>
    <row r="28" customFormat="false" ht="64.5" hidden="false" customHeight="true" outlineLevel="0" collapsed="false">
      <c r="B28" s="16" t="s">
        <v>186</v>
      </c>
      <c r="C28" s="7" t="s">
        <v>16</v>
      </c>
      <c r="D28" s="6" t="s">
        <v>43</v>
      </c>
      <c r="E28" s="6" t="s">
        <v>187</v>
      </c>
      <c r="F28" s="6" t="s">
        <v>188</v>
      </c>
      <c r="G28" s="6" t="s">
        <v>189</v>
      </c>
      <c r="H28" s="6" t="s">
        <v>190</v>
      </c>
      <c r="I28" s="13" t="s">
        <v>76</v>
      </c>
      <c r="J28" s="18" t="s">
        <v>77</v>
      </c>
      <c r="K28" s="15" t="s">
        <v>78</v>
      </c>
    </row>
    <row r="29" customFormat="false" ht="64.5" hidden="false" customHeight="true" outlineLevel="0" collapsed="false">
      <c r="B29" s="12" t="s">
        <v>191</v>
      </c>
      <c r="C29" s="7" t="s">
        <v>16</v>
      </c>
      <c r="D29" s="8" t="s">
        <v>43</v>
      </c>
      <c r="E29" s="8" t="s">
        <v>192</v>
      </c>
      <c r="F29" s="8" t="s">
        <v>193</v>
      </c>
      <c r="G29" s="8" t="s">
        <v>194</v>
      </c>
      <c r="H29" s="8" t="s">
        <v>194</v>
      </c>
      <c r="I29" s="13" t="s">
        <v>76</v>
      </c>
      <c r="J29" s="14" t="s">
        <v>89</v>
      </c>
      <c r="K29" s="15" t="s">
        <v>78</v>
      </c>
    </row>
    <row r="30" customFormat="false" ht="64.5" hidden="false" customHeight="true" outlineLevel="0" collapsed="false">
      <c r="B30" s="16" t="s">
        <v>195</v>
      </c>
      <c r="C30" s="7" t="s">
        <v>16</v>
      </c>
      <c r="D30" s="6" t="s">
        <v>43</v>
      </c>
      <c r="E30" s="6" t="s">
        <v>196</v>
      </c>
      <c r="F30" s="6" t="s">
        <v>197</v>
      </c>
      <c r="G30" s="6" t="s">
        <v>198</v>
      </c>
      <c r="H30" s="6" t="s">
        <v>199</v>
      </c>
      <c r="I30" s="13" t="s">
        <v>76</v>
      </c>
      <c r="J30" s="18" t="s">
        <v>89</v>
      </c>
      <c r="K30" s="15" t="s">
        <v>78</v>
      </c>
    </row>
    <row r="31" customFormat="false" ht="64.5" hidden="false" customHeight="true" outlineLevel="0" collapsed="false">
      <c r="B31" s="12" t="s">
        <v>200</v>
      </c>
      <c r="C31" s="7" t="s">
        <v>16</v>
      </c>
      <c r="D31" s="8" t="s">
        <v>43</v>
      </c>
      <c r="E31" s="8" t="s">
        <v>201</v>
      </c>
      <c r="F31" s="8" t="s">
        <v>202</v>
      </c>
      <c r="G31" s="8" t="s">
        <v>203</v>
      </c>
      <c r="H31" s="8" t="s">
        <v>204</v>
      </c>
      <c r="I31" s="15" t="s">
        <v>158</v>
      </c>
      <c r="J31" s="14" t="s">
        <v>77</v>
      </c>
      <c r="K31" s="15" t="s">
        <v>78</v>
      </c>
    </row>
    <row r="32" customFormat="false" ht="64.5" hidden="false" customHeight="true" outlineLevel="0" collapsed="false">
      <c r="B32" s="16" t="s">
        <v>205</v>
      </c>
      <c r="C32" s="10" t="s">
        <v>47</v>
      </c>
      <c r="D32" s="6" t="s">
        <v>48</v>
      </c>
      <c r="E32" s="6" t="s">
        <v>206</v>
      </c>
      <c r="F32" s="6" t="s">
        <v>207</v>
      </c>
      <c r="G32" s="6" t="s">
        <v>208</v>
      </c>
      <c r="H32" s="6" t="s">
        <v>209</v>
      </c>
      <c r="I32" s="13" t="s">
        <v>76</v>
      </c>
      <c r="J32" s="18" t="s">
        <v>77</v>
      </c>
      <c r="K32" s="15" t="s">
        <v>78</v>
      </c>
    </row>
    <row r="33" customFormat="false" ht="64.5" hidden="false" customHeight="true" outlineLevel="0" collapsed="false">
      <c r="B33" s="12" t="s">
        <v>210</v>
      </c>
      <c r="C33" s="10" t="s">
        <v>47</v>
      </c>
      <c r="D33" s="8" t="s">
        <v>48</v>
      </c>
      <c r="E33" s="8" t="s">
        <v>211</v>
      </c>
      <c r="F33" s="8" t="s">
        <v>212</v>
      </c>
      <c r="G33" s="8" t="s">
        <v>213</v>
      </c>
      <c r="H33" s="8" t="s">
        <v>213</v>
      </c>
      <c r="I33" s="13" t="s">
        <v>76</v>
      </c>
      <c r="J33" s="14" t="s">
        <v>89</v>
      </c>
      <c r="K33" s="15" t="s">
        <v>78</v>
      </c>
    </row>
    <row r="34" customFormat="false" ht="64.5" hidden="false" customHeight="true" outlineLevel="0" collapsed="false">
      <c r="B34" s="16" t="s">
        <v>214</v>
      </c>
      <c r="C34" s="9" t="s">
        <v>39</v>
      </c>
      <c r="D34" s="6" t="s">
        <v>48</v>
      </c>
      <c r="E34" s="6" t="s">
        <v>215</v>
      </c>
      <c r="F34" s="6" t="s">
        <v>216</v>
      </c>
      <c r="G34" s="6" t="s">
        <v>217</v>
      </c>
      <c r="H34" s="6" t="s">
        <v>218</v>
      </c>
      <c r="I34" s="13" t="s">
        <v>76</v>
      </c>
      <c r="J34" s="18" t="s">
        <v>77</v>
      </c>
      <c r="K34" s="15" t="s">
        <v>78</v>
      </c>
    </row>
    <row r="35" customFormat="false" ht="64.5" hidden="false" customHeight="true" outlineLevel="0" collapsed="false">
      <c r="B35" s="12" t="s">
        <v>219</v>
      </c>
      <c r="C35" s="9" t="s">
        <v>39</v>
      </c>
      <c r="D35" s="8" t="s">
        <v>48</v>
      </c>
      <c r="E35" s="8" t="s">
        <v>220</v>
      </c>
      <c r="F35" s="8" t="s">
        <v>221</v>
      </c>
      <c r="G35" s="8" t="s">
        <v>213</v>
      </c>
      <c r="H35" s="8" t="s">
        <v>213</v>
      </c>
      <c r="I35" s="15" t="s">
        <v>158</v>
      </c>
      <c r="J35" s="14" t="s">
        <v>89</v>
      </c>
      <c r="K35" s="15" t="s">
        <v>78</v>
      </c>
    </row>
    <row r="36" customFormat="false" ht="64.5" hidden="false" customHeight="true" outlineLevel="0" collapsed="false">
      <c r="B36" s="16" t="s">
        <v>222</v>
      </c>
      <c r="C36" s="5" t="s">
        <v>10</v>
      </c>
      <c r="D36" s="6" t="s">
        <v>54</v>
      </c>
      <c r="E36" s="6" t="s">
        <v>223</v>
      </c>
      <c r="F36" s="6" t="s">
        <v>224</v>
      </c>
      <c r="G36" s="6" t="s">
        <v>225</v>
      </c>
      <c r="H36" s="6" t="s">
        <v>226</v>
      </c>
      <c r="I36" s="17" t="s">
        <v>84</v>
      </c>
      <c r="J36" s="18" t="s">
        <v>77</v>
      </c>
      <c r="K36" s="15" t="s">
        <v>78</v>
      </c>
    </row>
    <row r="37" customFormat="false" ht="64.5" hidden="false" customHeight="true" outlineLevel="0" collapsed="false">
      <c r="B37" s="12" t="s">
        <v>227</v>
      </c>
      <c r="C37" s="5" t="s">
        <v>10</v>
      </c>
      <c r="D37" s="8" t="s">
        <v>54</v>
      </c>
      <c r="E37" s="8" t="s">
        <v>228</v>
      </c>
      <c r="F37" s="8" t="s">
        <v>229</v>
      </c>
      <c r="G37" s="8" t="s">
        <v>230</v>
      </c>
      <c r="H37" s="8" t="s">
        <v>230</v>
      </c>
      <c r="I37" s="13" t="s">
        <v>76</v>
      </c>
      <c r="J37" s="14" t="s">
        <v>89</v>
      </c>
      <c r="K37" s="15" t="s">
        <v>78</v>
      </c>
    </row>
    <row r="38" customFormat="false" ht="64.5" hidden="false" customHeight="true" outlineLevel="0" collapsed="false">
      <c r="B38" s="16" t="s">
        <v>231</v>
      </c>
      <c r="C38" s="5" t="s">
        <v>10</v>
      </c>
      <c r="D38" s="6" t="s">
        <v>54</v>
      </c>
      <c r="E38" s="6" t="s">
        <v>232</v>
      </c>
      <c r="F38" s="6" t="s">
        <v>233</v>
      </c>
      <c r="G38" s="6" t="s">
        <v>234</v>
      </c>
      <c r="H38" s="6" t="s">
        <v>234</v>
      </c>
      <c r="I38" s="13" t="s">
        <v>76</v>
      </c>
      <c r="J38" s="18" t="s">
        <v>89</v>
      </c>
      <c r="K38" s="15" t="s">
        <v>78</v>
      </c>
    </row>
    <row r="39" customFormat="false" ht="64.5" hidden="false" customHeight="true" outlineLevel="0" collapsed="false">
      <c r="B39" s="12" t="s">
        <v>235</v>
      </c>
      <c r="C39" s="5" t="s">
        <v>10</v>
      </c>
      <c r="D39" s="8" t="s">
        <v>54</v>
      </c>
      <c r="E39" s="8" t="s">
        <v>236</v>
      </c>
      <c r="F39" s="8" t="s">
        <v>237</v>
      </c>
      <c r="G39" s="8" t="s">
        <v>238</v>
      </c>
      <c r="H39" s="8" t="s">
        <v>239</v>
      </c>
      <c r="I39" s="15" t="s">
        <v>158</v>
      </c>
      <c r="J39" s="14" t="s">
        <v>185</v>
      </c>
      <c r="K39" s="17" t="s">
        <v>106</v>
      </c>
    </row>
    <row r="40" customFormat="false" ht="64.5" hidden="false" customHeight="true" outlineLevel="0" collapsed="false">
      <c r="B40" s="16" t="s">
        <v>240</v>
      </c>
      <c r="C40" s="5" t="s">
        <v>10</v>
      </c>
      <c r="D40" s="6" t="s">
        <v>54</v>
      </c>
      <c r="E40" s="6" t="s">
        <v>241</v>
      </c>
      <c r="F40" s="6" t="s">
        <v>242</v>
      </c>
      <c r="G40" s="6" t="s">
        <v>243</v>
      </c>
      <c r="H40" s="6" t="s">
        <v>244</v>
      </c>
      <c r="I40" s="15" t="s">
        <v>158</v>
      </c>
      <c r="J40" s="18" t="s">
        <v>77</v>
      </c>
      <c r="K40" s="15" t="s">
        <v>78</v>
      </c>
    </row>
    <row r="41" customFormat="false" ht="64.5" hidden="false" customHeight="true" outlineLevel="0" collapsed="false">
      <c r="B41" s="12" t="s">
        <v>245</v>
      </c>
      <c r="C41" s="7" t="s">
        <v>16</v>
      </c>
      <c r="D41" s="8" t="s">
        <v>58</v>
      </c>
      <c r="E41" s="8" t="s">
        <v>246</v>
      </c>
      <c r="F41" s="8" t="s">
        <v>247</v>
      </c>
      <c r="G41" s="8" t="s">
        <v>248</v>
      </c>
      <c r="H41" s="8" t="s">
        <v>249</v>
      </c>
      <c r="I41" s="17" t="s">
        <v>84</v>
      </c>
      <c r="J41" s="14" t="s">
        <v>77</v>
      </c>
      <c r="K41" s="15" t="s">
        <v>78</v>
      </c>
    </row>
    <row r="42" customFormat="false" ht="64.5" hidden="false" customHeight="true" outlineLevel="0" collapsed="false">
      <c r="B42" s="16" t="s">
        <v>250</v>
      </c>
      <c r="C42" s="7" t="s">
        <v>16</v>
      </c>
      <c r="D42" s="6" t="s">
        <v>58</v>
      </c>
      <c r="E42" s="6" t="s">
        <v>251</v>
      </c>
      <c r="F42" s="6" t="s">
        <v>252</v>
      </c>
      <c r="G42" s="6" t="s">
        <v>253</v>
      </c>
      <c r="H42" s="6" t="s">
        <v>254</v>
      </c>
      <c r="I42" s="13" t="s">
        <v>76</v>
      </c>
      <c r="J42" s="18" t="s">
        <v>77</v>
      </c>
      <c r="K42" s="15" t="s">
        <v>78</v>
      </c>
    </row>
    <row r="43" customFormat="false" ht="64.5" hidden="false" customHeight="true" outlineLevel="0" collapsed="false">
      <c r="B43" s="12" t="s">
        <v>255</v>
      </c>
      <c r="C43" s="7" t="s">
        <v>16</v>
      </c>
      <c r="D43" s="8" t="s">
        <v>58</v>
      </c>
      <c r="E43" s="8" t="s">
        <v>256</v>
      </c>
      <c r="F43" s="8" t="s">
        <v>257</v>
      </c>
      <c r="G43" s="8" t="s">
        <v>258</v>
      </c>
      <c r="H43" s="8" t="s">
        <v>258</v>
      </c>
      <c r="I43" s="13" t="s">
        <v>76</v>
      </c>
      <c r="J43" s="14" t="s">
        <v>89</v>
      </c>
      <c r="K43" s="15" t="s">
        <v>78</v>
      </c>
    </row>
    <row r="44" customFormat="false" ht="64.5" hidden="false" customHeight="true" outlineLevel="0" collapsed="false">
      <c r="B44" s="16" t="s">
        <v>259</v>
      </c>
      <c r="C44" s="7" t="s">
        <v>16</v>
      </c>
      <c r="D44" s="6" t="s">
        <v>58</v>
      </c>
      <c r="E44" s="6" t="s">
        <v>260</v>
      </c>
      <c r="F44" s="6" t="s">
        <v>261</v>
      </c>
      <c r="G44" s="6" t="s">
        <v>148</v>
      </c>
      <c r="H44" s="6" t="s">
        <v>148</v>
      </c>
      <c r="I44" s="13" t="s">
        <v>76</v>
      </c>
      <c r="J44" s="18" t="s">
        <v>89</v>
      </c>
      <c r="K44" s="15" t="s">
        <v>78</v>
      </c>
    </row>
    <row r="45" customFormat="false" ht="64.5" hidden="false" customHeight="true" outlineLevel="0" collapsed="false">
      <c r="B45" s="12" t="s">
        <v>262</v>
      </c>
      <c r="C45" s="7" t="s">
        <v>16</v>
      </c>
      <c r="D45" s="8" t="s">
        <v>58</v>
      </c>
      <c r="E45" s="8" t="s">
        <v>263</v>
      </c>
      <c r="F45" s="8" t="s">
        <v>264</v>
      </c>
      <c r="G45" s="8" t="s">
        <v>152</v>
      </c>
      <c r="H45" s="8" t="s">
        <v>152</v>
      </c>
      <c r="I45" s="17" t="s">
        <v>84</v>
      </c>
      <c r="J45" s="14" t="s">
        <v>125</v>
      </c>
      <c r="K45" s="15" t="s">
        <v>78</v>
      </c>
    </row>
    <row r="46" customFormat="false" ht="64.5" hidden="false" customHeight="true" outlineLevel="0" collapsed="false">
      <c r="B46" s="16" t="s">
        <v>265</v>
      </c>
      <c r="C46" s="7" t="s">
        <v>16</v>
      </c>
      <c r="D46" s="6" t="s">
        <v>58</v>
      </c>
      <c r="E46" s="6" t="s">
        <v>266</v>
      </c>
      <c r="F46" s="6" t="s">
        <v>267</v>
      </c>
      <c r="G46" s="6" t="s">
        <v>268</v>
      </c>
      <c r="H46" s="6" t="s">
        <v>269</v>
      </c>
      <c r="I46" s="13" t="s">
        <v>76</v>
      </c>
      <c r="J46" s="18" t="s">
        <v>89</v>
      </c>
      <c r="K46" s="15" t="s">
        <v>78</v>
      </c>
    </row>
    <row r="47" customFormat="false" ht="64.5" hidden="false" customHeight="true" outlineLevel="0" collapsed="false">
      <c r="B47" s="12" t="s">
        <v>270</v>
      </c>
      <c r="C47" s="7" t="s">
        <v>16</v>
      </c>
      <c r="D47" s="8" t="s">
        <v>58</v>
      </c>
      <c r="E47" s="8" t="s">
        <v>271</v>
      </c>
      <c r="F47" s="8" t="s">
        <v>272</v>
      </c>
      <c r="G47" s="8" t="s">
        <v>273</v>
      </c>
      <c r="H47" s="8" t="s">
        <v>274</v>
      </c>
      <c r="I47" s="15" t="s">
        <v>158</v>
      </c>
      <c r="J47" s="14" t="s">
        <v>100</v>
      </c>
      <c r="K47" s="15" t="s">
        <v>78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6" min="5" style="0" width="32"/>
    <col collapsed="false" customWidth="true" hidden="false" outlineLevel="0" max="7" min="7" style="0" width="2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2" customFormat="false" ht="49.5" hidden="false" customHeight="true" outlineLevel="0" collapsed="false">
      <c r="B2" s="1" t="s">
        <v>275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24" hidden="false" customHeight="true" outlineLevel="0" collapsed="false">
      <c r="B3" s="2" t="s">
        <v>276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21.75" hidden="false" customHeight="true" outlineLevel="0" collapsed="false">
      <c r="B4" s="4" t="s">
        <v>277</v>
      </c>
      <c r="C4" s="4" t="s">
        <v>3</v>
      </c>
      <c r="D4" s="4" t="s">
        <v>4</v>
      </c>
      <c r="E4" s="4" t="s">
        <v>278</v>
      </c>
      <c r="F4" s="4" t="s">
        <v>279</v>
      </c>
      <c r="G4" s="4" t="s">
        <v>280</v>
      </c>
      <c r="H4" s="4" t="s">
        <v>281</v>
      </c>
      <c r="I4" s="4" t="s">
        <v>282</v>
      </c>
      <c r="J4" s="4" t="s">
        <v>69</v>
      </c>
      <c r="K4" s="4" t="s">
        <v>71</v>
      </c>
      <c r="L4" s="4" t="s">
        <v>283</v>
      </c>
    </row>
    <row r="5" customFormat="false" ht="69.75" hidden="false" customHeight="true" outlineLevel="0" collapsed="false">
      <c r="B5" s="12" t="s">
        <v>284</v>
      </c>
      <c r="C5" s="7" t="s">
        <v>16</v>
      </c>
      <c r="D5" s="8" t="s">
        <v>17</v>
      </c>
      <c r="E5" s="8" t="s">
        <v>285</v>
      </c>
      <c r="F5" s="8" t="s">
        <v>286</v>
      </c>
      <c r="G5" s="8" t="s">
        <v>287</v>
      </c>
      <c r="H5" s="8" t="s">
        <v>288</v>
      </c>
      <c r="J5" s="13" t="s">
        <v>289</v>
      </c>
      <c r="K5" s="13" t="s">
        <v>76</v>
      </c>
      <c r="L5" s="19" t="s">
        <v>290</v>
      </c>
      <c r="M5" s="14" t="s">
        <v>101</v>
      </c>
    </row>
    <row r="6" customFormat="false" ht="69.75" hidden="false" customHeight="true" outlineLevel="0" collapsed="false">
      <c r="B6" s="16" t="s">
        <v>291</v>
      </c>
      <c r="C6" s="7" t="s">
        <v>16</v>
      </c>
      <c r="D6" s="6" t="s">
        <v>17</v>
      </c>
      <c r="E6" s="6" t="s">
        <v>292</v>
      </c>
      <c r="F6" s="6" t="s">
        <v>293</v>
      </c>
      <c r="G6" s="6" t="s">
        <v>294</v>
      </c>
      <c r="H6" s="6" t="s">
        <v>295</v>
      </c>
      <c r="J6" s="13" t="s">
        <v>289</v>
      </c>
      <c r="K6" s="13" t="s">
        <v>76</v>
      </c>
      <c r="L6" s="19" t="s">
        <v>290</v>
      </c>
      <c r="M6" s="18" t="s">
        <v>107</v>
      </c>
    </row>
    <row r="7" customFormat="false" ht="69.75" hidden="false" customHeight="true" outlineLevel="0" collapsed="false">
      <c r="B7" s="12" t="s">
        <v>296</v>
      </c>
      <c r="C7" s="9" t="s">
        <v>39</v>
      </c>
      <c r="D7" s="8" t="s">
        <v>28</v>
      </c>
      <c r="E7" s="8" t="s">
        <v>297</v>
      </c>
      <c r="F7" s="8" t="s">
        <v>298</v>
      </c>
      <c r="G7" s="8" t="s">
        <v>299</v>
      </c>
      <c r="H7" s="8" t="s">
        <v>300</v>
      </c>
      <c r="J7" s="17" t="s">
        <v>84</v>
      </c>
      <c r="K7" s="17" t="s">
        <v>84</v>
      </c>
      <c r="L7" s="19" t="s">
        <v>290</v>
      </c>
      <c r="M7" s="14" t="s">
        <v>171</v>
      </c>
    </row>
    <row r="8" customFormat="false" ht="69.75" hidden="false" customHeight="true" outlineLevel="0" collapsed="false">
      <c r="B8" s="16" t="s">
        <v>301</v>
      </c>
      <c r="C8" s="5" t="s">
        <v>10</v>
      </c>
      <c r="D8" s="6" t="s">
        <v>54</v>
      </c>
      <c r="E8" s="6" t="s">
        <v>302</v>
      </c>
      <c r="F8" s="6" t="s">
        <v>303</v>
      </c>
      <c r="G8" s="6" t="s">
        <v>304</v>
      </c>
      <c r="H8" s="6" t="s">
        <v>305</v>
      </c>
      <c r="J8" s="15" t="s">
        <v>306</v>
      </c>
      <c r="K8" s="15" t="s">
        <v>158</v>
      </c>
      <c r="L8" s="19" t="s">
        <v>290</v>
      </c>
      <c r="M8" s="18" t="s">
        <v>235</v>
      </c>
    </row>
    <row r="9" customFormat="false" ht="69.75" hidden="false" customHeight="true" outlineLevel="0" collapsed="false">
      <c r="B9" s="12" t="s">
        <v>307</v>
      </c>
      <c r="C9" s="5" t="s">
        <v>10</v>
      </c>
      <c r="D9" s="8" t="s">
        <v>54</v>
      </c>
      <c r="E9" s="8" t="s">
        <v>308</v>
      </c>
      <c r="F9" s="8" t="s">
        <v>309</v>
      </c>
      <c r="G9" s="8" t="s">
        <v>310</v>
      </c>
      <c r="H9" s="8" t="s">
        <v>311</v>
      </c>
      <c r="J9" s="13" t="s">
        <v>289</v>
      </c>
      <c r="K9" s="13" t="s">
        <v>76</v>
      </c>
      <c r="L9" s="19" t="s">
        <v>290</v>
      </c>
      <c r="M9" s="14" t="s">
        <v>222</v>
      </c>
    </row>
    <row r="10" customFormat="false" ht="69.75" hidden="false" customHeight="true" outlineLevel="0" collapsed="false">
      <c r="B10" s="16" t="s">
        <v>312</v>
      </c>
      <c r="C10" s="7" t="s">
        <v>16</v>
      </c>
      <c r="D10" s="6" t="s">
        <v>58</v>
      </c>
      <c r="E10" s="6" t="s">
        <v>313</v>
      </c>
      <c r="F10" s="6" t="s">
        <v>314</v>
      </c>
      <c r="G10" s="6" t="s">
        <v>315</v>
      </c>
      <c r="H10" s="6" t="s">
        <v>316</v>
      </c>
      <c r="J10" s="20" t="s">
        <v>317</v>
      </c>
      <c r="K10" s="20" t="s">
        <v>318</v>
      </c>
      <c r="L10" s="19" t="s">
        <v>290</v>
      </c>
      <c r="M10" s="18" t="s">
        <v>255</v>
      </c>
    </row>
    <row r="11" customFormat="false" ht="69.75" hidden="false" customHeight="true" outlineLevel="0" collapsed="false">
      <c r="B11" s="12" t="s">
        <v>319</v>
      </c>
      <c r="C11" s="7" t="s">
        <v>16</v>
      </c>
      <c r="D11" s="8" t="s">
        <v>58</v>
      </c>
      <c r="E11" s="8" t="s">
        <v>320</v>
      </c>
      <c r="F11" s="8" t="s">
        <v>321</v>
      </c>
      <c r="G11" s="8" t="s">
        <v>322</v>
      </c>
      <c r="H11" s="8" t="s">
        <v>323</v>
      </c>
      <c r="J11" s="15" t="s">
        <v>306</v>
      </c>
      <c r="K11" s="15" t="s">
        <v>158</v>
      </c>
      <c r="L11" s="19" t="s">
        <v>290</v>
      </c>
      <c r="M11" s="14" t="s">
        <v>265</v>
      </c>
    </row>
    <row r="12" customFormat="false" ht="69.75" hidden="false" customHeight="true" outlineLevel="0" collapsed="false">
      <c r="B12" s="16" t="s">
        <v>324</v>
      </c>
      <c r="C12" s="7" t="s">
        <v>16</v>
      </c>
      <c r="D12" s="6" t="s">
        <v>21</v>
      </c>
      <c r="E12" s="6" t="s">
        <v>325</v>
      </c>
      <c r="F12" s="6" t="s">
        <v>326</v>
      </c>
      <c r="G12" s="6" t="s">
        <v>327</v>
      </c>
      <c r="H12" s="6" t="s">
        <v>328</v>
      </c>
      <c r="J12" s="13" t="s">
        <v>289</v>
      </c>
      <c r="K12" s="13" t="s">
        <v>76</v>
      </c>
      <c r="L12" s="19" t="s">
        <v>290</v>
      </c>
      <c r="M12" s="18" t="s">
        <v>112</v>
      </c>
    </row>
    <row r="13" customFormat="false" ht="69.75" hidden="false" customHeight="true" outlineLevel="0" collapsed="false">
      <c r="B13" s="12" t="s">
        <v>329</v>
      </c>
      <c r="C13" s="5" t="s">
        <v>10</v>
      </c>
      <c r="D13" s="8" t="s">
        <v>28</v>
      </c>
      <c r="E13" s="8" t="s">
        <v>330</v>
      </c>
      <c r="F13" s="8" t="s">
        <v>331</v>
      </c>
      <c r="G13" s="8" t="s">
        <v>332</v>
      </c>
      <c r="H13" s="8" t="s">
        <v>333</v>
      </c>
      <c r="J13" s="15" t="s">
        <v>306</v>
      </c>
      <c r="K13" s="15" t="s">
        <v>158</v>
      </c>
      <c r="L13" s="19" t="s">
        <v>290</v>
      </c>
      <c r="M13" s="14" t="s">
        <v>149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18"/>
  </cols>
  <sheetData>
    <row r="2" customFormat="false" ht="49.5" hidden="false" customHeight="true" outlineLevel="0" collapsed="false">
      <c r="B2" s="1" t="s">
        <v>334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24" hidden="false" customHeight="true" outlineLevel="0" collapsed="false">
      <c r="B3" s="2" t="s">
        <v>335</v>
      </c>
      <c r="C3" s="2"/>
      <c r="D3" s="2"/>
      <c r="E3" s="2"/>
      <c r="F3" s="2"/>
      <c r="G3" s="2"/>
      <c r="H3" s="2"/>
      <c r="I3" s="2"/>
      <c r="J3" s="2"/>
      <c r="K3" s="2"/>
    </row>
    <row r="6" customFormat="false" ht="24" hidden="false" customHeight="true" outlineLevel="0" collapsed="false">
      <c r="B6" s="3" t="s">
        <v>336</v>
      </c>
      <c r="C6" s="3"/>
      <c r="D6" s="3"/>
      <c r="E6" s="3"/>
    </row>
    <row r="7" customFormat="false" ht="21.75" hidden="false" customHeight="true" outlineLevel="0" collapsed="false">
      <c r="B7" s="4" t="s">
        <v>337</v>
      </c>
      <c r="C7" s="4" t="s">
        <v>338</v>
      </c>
      <c r="D7" s="4"/>
      <c r="E7" s="4"/>
    </row>
    <row r="8" customFormat="false" ht="21.75" hidden="false" customHeight="true" outlineLevel="0" collapsed="false">
      <c r="B8" s="21" t="s">
        <v>339</v>
      </c>
      <c r="C8" s="22" t="n">
        <f aca="false">COUNTA('🧪 API Test Cases'!B:B)-2</f>
        <v>44</v>
      </c>
      <c r="D8" s="22"/>
      <c r="E8" s="22"/>
    </row>
    <row r="9" customFormat="false" ht="21.75" hidden="false" customHeight="true" outlineLevel="0" collapsed="false">
      <c r="B9" s="21" t="s">
        <v>340</v>
      </c>
      <c r="C9" s="23" t="n">
        <f aca="false">COUNTIF('🧪 API Test Cases'!K:K,"Pass")</f>
        <v>39</v>
      </c>
      <c r="D9" s="23"/>
      <c r="E9" s="23"/>
    </row>
    <row r="10" customFormat="false" ht="21.75" hidden="false" customHeight="true" outlineLevel="0" collapsed="false">
      <c r="B10" s="21" t="s">
        <v>341</v>
      </c>
      <c r="C10" s="24" t="n">
        <f aca="false">COUNTIF('🧪 API Test Cases'!K:K,"Fail")</f>
        <v>4</v>
      </c>
      <c r="D10" s="24"/>
      <c r="E10" s="24"/>
    </row>
    <row r="11" customFormat="false" ht="21.75" hidden="false" customHeight="true" outlineLevel="0" collapsed="false">
      <c r="B11" s="21" t="s">
        <v>342</v>
      </c>
      <c r="C11" s="25" t="n">
        <f aca="false">COUNTIF('🧪 API Test Cases'!K:K,"Not Tested")</f>
        <v>0</v>
      </c>
      <c r="D11" s="25"/>
      <c r="E11" s="25"/>
    </row>
    <row r="12" customFormat="false" ht="21.75" hidden="false" customHeight="true" outlineLevel="0" collapsed="false">
      <c r="B12" s="21" t="s">
        <v>343</v>
      </c>
      <c r="C12" s="26" t="n">
        <f aca="false">IFERROR(COUNTIF('🧪 API Test Cases'!K:K,"Pass")/(COUNTIF('🧪 API Test Cases'!K:K,"Pass")+COUNTIF('🧪 API Test Cases'!K:K,"Fail"))*100,0)</f>
        <v>90.6976744186047</v>
      </c>
      <c r="D12" s="22"/>
      <c r="E12" s="22"/>
    </row>
    <row r="13" customFormat="false" ht="21.75" hidden="false" customHeight="true" outlineLevel="0" collapsed="false">
      <c r="B13" s="21" t="s">
        <v>344</v>
      </c>
      <c r="C13" s="22" t="n">
        <f aca="false">COUNTA('🐞 API Bugs'!B:B)-2</f>
        <v>10</v>
      </c>
      <c r="D13" s="22"/>
      <c r="E13" s="22"/>
    </row>
    <row r="14" customFormat="false" ht="21.75" hidden="false" customHeight="true" outlineLevel="0" collapsed="false">
      <c r="B14" s="21" t="s">
        <v>345</v>
      </c>
      <c r="C14" s="22" t="s">
        <v>346</v>
      </c>
      <c r="D14" s="22"/>
      <c r="E14" s="22"/>
    </row>
    <row r="15" customFormat="false" ht="21.75" hidden="false" customHeight="true" outlineLevel="0" collapsed="false">
      <c r="B15" s="21" t="s">
        <v>347</v>
      </c>
      <c r="C15" s="22" t="n">
        <f aca="false">14-COUNTIF('🐞 API Bugs'!C:C,"Critical")-1</f>
        <v>13</v>
      </c>
      <c r="D15" s="22"/>
      <c r="E15" s="22"/>
    </row>
    <row r="17" customFormat="false" ht="24" hidden="false" customHeight="true" outlineLevel="0" collapsed="false">
      <c r="B17" s="3" t="s">
        <v>348</v>
      </c>
      <c r="C17" s="3"/>
      <c r="D17" s="3"/>
      <c r="E17" s="3"/>
    </row>
    <row r="18" customFormat="false" ht="21.75" hidden="false" customHeight="true" outlineLevel="0" collapsed="false">
      <c r="B18" s="4" t="s">
        <v>282</v>
      </c>
      <c r="C18" s="4" t="s">
        <v>349</v>
      </c>
      <c r="D18" s="4"/>
      <c r="E18" s="4"/>
    </row>
    <row r="19" customFormat="false" ht="21.75" hidden="false" customHeight="true" outlineLevel="0" collapsed="false">
      <c r="B19" s="21" t="s">
        <v>350</v>
      </c>
      <c r="C19" s="24" t="n">
        <f aca="false">COUNTIF('🐞 API Bugs'!J:J,"Critical")</f>
        <v>1</v>
      </c>
      <c r="D19" s="24"/>
      <c r="E19" s="24"/>
    </row>
    <row r="20" customFormat="false" ht="21.75" hidden="false" customHeight="true" outlineLevel="0" collapsed="false">
      <c r="B20" s="21" t="s">
        <v>351</v>
      </c>
      <c r="C20" s="27" t="n">
        <f aca="false">COUNTIF('🐞 API Bugs'!J:J,"Major")</f>
        <v>4</v>
      </c>
      <c r="D20" s="27"/>
      <c r="E20" s="27"/>
    </row>
    <row r="21" customFormat="false" ht="21.75" hidden="false" customHeight="true" outlineLevel="0" collapsed="false">
      <c r="B21" s="21" t="s">
        <v>352</v>
      </c>
      <c r="C21" s="23" t="n">
        <f aca="false">COUNTIF('🐞 API Bugs'!J:J,"Minor")</f>
        <v>3</v>
      </c>
      <c r="D21" s="23"/>
      <c r="E21" s="23"/>
    </row>
    <row r="22" customFormat="false" ht="21.75" hidden="false" customHeight="true" outlineLevel="0" collapsed="false">
      <c r="B22" s="21" t="s">
        <v>353</v>
      </c>
      <c r="C22" s="28" t="n">
        <f aca="false">COUNTIF('🐞 API Bugs'!J:J,"Trivial")</f>
        <v>1</v>
      </c>
      <c r="D22" s="28"/>
      <c r="E22" s="28"/>
    </row>
    <row r="24" customFormat="false" ht="24" hidden="false" customHeight="true" outlineLevel="0" collapsed="false">
      <c r="B24" s="3" t="s">
        <v>354</v>
      </c>
      <c r="C24" s="3"/>
      <c r="D24" s="3"/>
      <c r="E24" s="3"/>
    </row>
    <row r="25" customFormat="false" ht="21.75" hidden="false" customHeight="true" outlineLevel="0" collapsed="false">
      <c r="B25" s="4" t="s">
        <v>355</v>
      </c>
      <c r="C25" s="4" t="s">
        <v>356</v>
      </c>
      <c r="D25" s="4" t="s">
        <v>340</v>
      </c>
      <c r="E25" s="4" t="s">
        <v>341</v>
      </c>
    </row>
    <row r="26" customFormat="false" ht="21.75" hidden="false" customHeight="true" outlineLevel="0" collapsed="false">
      <c r="B26" s="21" t="s">
        <v>357</v>
      </c>
      <c r="C26" s="29" t="n">
        <v>1</v>
      </c>
      <c r="D26" s="29" t="n">
        <v>1</v>
      </c>
      <c r="E26" s="29" t="n">
        <v>0</v>
      </c>
    </row>
    <row r="27" customFormat="false" ht="21.75" hidden="false" customHeight="true" outlineLevel="0" collapsed="false">
      <c r="B27" s="21" t="s">
        <v>358</v>
      </c>
      <c r="C27" s="22" t="n">
        <v>6</v>
      </c>
      <c r="D27" s="22" t="n">
        <v>4</v>
      </c>
      <c r="E27" s="22" t="n">
        <v>2</v>
      </c>
    </row>
    <row r="28" customFormat="false" ht="21.75" hidden="false" customHeight="true" outlineLevel="0" collapsed="false">
      <c r="B28" s="21" t="s">
        <v>359</v>
      </c>
      <c r="C28" s="29" t="n">
        <v>10</v>
      </c>
      <c r="D28" s="29" t="n">
        <v>9</v>
      </c>
      <c r="E28" s="29" t="n">
        <v>1</v>
      </c>
    </row>
    <row r="29" customFormat="false" ht="21.75" hidden="false" customHeight="true" outlineLevel="0" collapsed="false">
      <c r="B29" s="21" t="s">
        <v>360</v>
      </c>
      <c r="C29" s="22" t="n">
        <v>10</v>
      </c>
      <c r="D29" s="22" t="n">
        <v>10</v>
      </c>
      <c r="E29" s="22" t="n">
        <v>0</v>
      </c>
    </row>
    <row r="30" customFormat="false" ht="21.75" hidden="false" customHeight="true" outlineLevel="0" collapsed="false">
      <c r="B30" s="21" t="s">
        <v>361</v>
      </c>
      <c r="C30" s="29" t="n">
        <v>5</v>
      </c>
      <c r="D30" s="29" t="n">
        <v>4</v>
      </c>
      <c r="E30" s="29" t="n">
        <v>1</v>
      </c>
    </row>
    <row r="31" customFormat="false" ht="21.75" hidden="false" customHeight="true" outlineLevel="0" collapsed="false">
      <c r="B31" s="21" t="s">
        <v>362</v>
      </c>
      <c r="C31" s="22" t="n">
        <v>7</v>
      </c>
      <c r="D31" s="22" t="n">
        <v>7</v>
      </c>
      <c r="E31" s="22" t="n">
        <v>0</v>
      </c>
    </row>
    <row r="33" customFormat="false" ht="24" hidden="false" customHeight="true" outlineLevel="0" collapsed="false">
      <c r="B33" s="3" t="s">
        <v>363</v>
      </c>
      <c r="C33" s="3"/>
      <c r="D33" s="3"/>
      <c r="E33" s="3"/>
    </row>
    <row r="34" customFormat="false" ht="21.75" hidden="false" customHeight="true" outlineLevel="0" collapsed="false">
      <c r="B34" s="4" t="s">
        <v>364</v>
      </c>
      <c r="C34" s="4" t="s">
        <v>365</v>
      </c>
      <c r="D34" s="4"/>
      <c r="E34" s="4"/>
    </row>
    <row r="35" customFormat="false" ht="42" hidden="false" customHeight="true" outlineLevel="0" collapsed="false">
      <c r="B35" s="30" t="s">
        <v>366</v>
      </c>
      <c r="C35" s="31" t="s">
        <v>367</v>
      </c>
      <c r="D35" s="31"/>
      <c r="E35" s="31"/>
    </row>
    <row r="36" customFormat="false" ht="42" hidden="false" customHeight="true" outlineLevel="0" collapsed="false">
      <c r="B36" s="32" t="s">
        <v>368</v>
      </c>
      <c r="C36" s="33" t="s">
        <v>369</v>
      </c>
      <c r="D36" s="33"/>
      <c r="E36" s="33"/>
    </row>
    <row r="37" customFormat="false" ht="42" hidden="false" customHeight="true" outlineLevel="0" collapsed="false">
      <c r="B37" s="30" t="s">
        <v>370</v>
      </c>
      <c r="C37" s="31" t="s">
        <v>371</v>
      </c>
      <c r="D37" s="31"/>
      <c r="E37" s="31"/>
    </row>
    <row r="38" customFormat="false" ht="42" hidden="false" customHeight="true" outlineLevel="0" collapsed="false">
      <c r="B38" s="32" t="s">
        <v>372</v>
      </c>
      <c r="C38" s="33" t="s">
        <v>373</v>
      </c>
      <c r="D38" s="33"/>
      <c r="E38" s="33"/>
    </row>
    <row r="39" customFormat="false" ht="42" hidden="false" customHeight="true" outlineLevel="0" collapsed="false">
      <c r="B39" s="30" t="s">
        <v>374</v>
      </c>
      <c r="C39" s="31" t="s">
        <v>375</v>
      </c>
      <c r="D39" s="31"/>
      <c r="E39" s="31"/>
    </row>
    <row r="40" customFormat="false" ht="42" hidden="false" customHeight="true" outlineLevel="0" collapsed="false">
      <c r="B40" s="32" t="s">
        <v>376</v>
      </c>
      <c r="C40" s="33" t="s">
        <v>377</v>
      </c>
      <c r="D40" s="33"/>
      <c r="E40" s="33"/>
    </row>
    <row r="41" customFormat="false" ht="42" hidden="false" customHeight="true" outlineLevel="0" collapsed="false">
      <c r="B41" s="30" t="s">
        <v>378</v>
      </c>
      <c r="C41" s="31" t="s">
        <v>379</v>
      </c>
      <c r="D41" s="31"/>
      <c r="E41" s="31"/>
    </row>
    <row r="42" customFormat="false" ht="42" hidden="false" customHeight="true" outlineLevel="0" collapsed="false">
      <c r="B42" s="32" t="s">
        <v>380</v>
      </c>
      <c r="C42" s="33" t="s">
        <v>381</v>
      </c>
      <c r="D42" s="33"/>
      <c r="E42" s="33"/>
    </row>
    <row r="44" customFormat="false" ht="49.5" hidden="false" customHeight="true" outlineLevel="0" collapsed="false">
      <c r="B44" s="34" t="s">
        <v>382</v>
      </c>
      <c r="C44" s="34"/>
      <c r="D44" s="34"/>
      <c r="E44" s="34"/>
    </row>
    <row r="46" customFormat="false" ht="54" hidden="false" customHeight="true" outlineLevel="0" collapsed="false">
      <c r="B46" s="35" t="s">
        <v>383</v>
      </c>
      <c r="C46" s="35"/>
      <c r="D46" s="35"/>
      <c r="E46" s="35"/>
    </row>
  </sheetData>
  <mergeCells count="16">
    <mergeCell ref="B2:K2"/>
    <mergeCell ref="B3:K3"/>
    <mergeCell ref="B6:E6"/>
    <mergeCell ref="B17:E17"/>
    <mergeCell ref="B24:E24"/>
    <mergeCell ref="B33:E33"/>
    <mergeCell ref="C35:E35"/>
    <mergeCell ref="C36:E36"/>
    <mergeCell ref="C37:E37"/>
    <mergeCell ref="C38:E38"/>
    <mergeCell ref="C39:E39"/>
    <mergeCell ref="C40:E40"/>
    <mergeCell ref="C41:E41"/>
    <mergeCell ref="C42:E42"/>
    <mergeCell ref="B44:E44"/>
    <mergeCell ref="B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2026-02-18T05:23:53Z</dcterms:created>
  <dc:creator>openpyxl</dc:creator>
  <dc:description/>
  <dc:language>en-US</dc:language>
  <cp:lastModifiedBy/>
  <dcterms:modified xsi:type="dcterms:W3CDTF">2026-02-18T05:23:53Z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